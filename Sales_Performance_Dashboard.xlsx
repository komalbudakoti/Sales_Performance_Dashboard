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50" yWindow="555" windowWidth="15015" windowHeight="5835" activeTab="1"/>
  </bookViews>
  <sheets>
    <sheet name="Raw_Data" sheetId="1" r:id="rId1"/>
    <sheet name="DASHBOARD" sheetId="2" r:id="rId2"/>
    <sheet name="PRODUCT" sheetId="12" r:id="rId3"/>
    <sheet name="SALESPERSON" sheetId="10" r:id="rId4"/>
    <sheet name="CONCLUSION" sheetId="8" r:id="rId5"/>
    <sheet name="PVT. TABLE" sheetId="4" state="hidden" r:id="rId6"/>
  </sheets>
  <definedNames>
    <definedName name="Slicer_Month">#N/A</definedName>
    <definedName name="Slicer_Product">#N/A</definedName>
    <definedName name="Slicer_Region">#N/A</definedName>
  </definedNames>
  <calcPr calcId="144525"/>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2" i="1" l="1"/>
  <c r="M9" i="1"/>
  <c r="K7" i="1"/>
  <c r="Y7" i="4"/>
  <c r="I81" i="1" l="1"/>
  <c r="C81" i="1"/>
  <c r="I80" i="1"/>
  <c r="C80" i="1"/>
  <c r="I79" i="1"/>
  <c r="C79" i="1"/>
  <c r="I78" i="1"/>
  <c r="C78" i="1"/>
  <c r="I77" i="1"/>
  <c r="C77" i="1"/>
  <c r="I76" i="1"/>
  <c r="C76" i="1"/>
  <c r="I75" i="1"/>
  <c r="C75" i="1"/>
  <c r="I74" i="1"/>
  <c r="C74" i="1"/>
  <c r="I73" i="1"/>
  <c r="C73" i="1"/>
  <c r="I72" i="1"/>
  <c r="C72" i="1"/>
  <c r="I71" i="1"/>
  <c r="C71" i="1"/>
  <c r="I70" i="1"/>
  <c r="C70" i="1"/>
  <c r="I69" i="1"/>
  <c r="C69" i="1"/>
  <c r="I68" i="1"/>
  <c r="C68" i="1"/>
  <c r="I67" i="1"/>
  <c r="C67" i="1"/>
  <c r="I66" i="1"/>
  <c r="C66" i="1"/>
  <c r="I65" i="1"/>
  <c r="C65" i="1"/>
  <c r="I64" i="1"/>
  <c r="C64" i="1"/>
  <c r="I63" i="1"/>
  <c r="C63" i="1"/>
  <c r="I62" i="1"/>
  <c r="C62" i="1"/>
  <c r="I61" i="1"/>
  <c r="C61" i="1"/>
  <c r="I60" i="1"/>
  <c r="C60" i="1"/>
  <c r="I59" i="1"/>
  <c r="C59" i="1"/>
  <c r="I58" i="1"/>
  <c r="C58" i="1"/>
  <c r="I57" i="1"/>
  <c r="C57" i="1"/>
  <c r="I56" i="1"/>
  <c r="C56" i="1"/>
  <c r="I55" i="1"/>
  <c r="C55" i="1"/>
  <c r="I54" i="1"/>
  <c r="C54" i="1"/>
  <c r="I53" i="1"/>
  <c r="C53" i="1"/>
  <c r="I52" i="1"/>
  <c r="C52" i="1"/>
  <c r="I51" i="1"/>
  <c r="C51" i="1"/>
  <c r="I50" i="1"/>
  <c r="C50" i="1"/>
  <c r="I49" i="1"/>
  <c r="C49" i="1"/>
  <c r="I48" i="1"/>
  <c r="C48" i="1"/>
  <c r="I47" i="1"/>
  <c r="C47" i="1"/>
  <c r="I46" i="1"/>
  <c r="C46" i="1"/>
  <c r="I45" i="1"/>
  <c r="C45" i="1"/>
  <c r="I44" i="1"/>
  <c r="C44" i="1"/>
  <c r="I43" i="1"/>
  <c r="C43" i="1"/>
  <c r="I42" i="1"/>
  <c r="C42" i="1"/>
  <c r="I41" i="1"/>
  <c r="C41" i="1"/>
  <c r="I40" i="1"/>
  <c r="C40" i="1"/>
  <c r="I39" i="1"/>
  <c r="C39" i="1"/>
  <c r="I38" i="1"/>
  <c r="C38" i="1"/>
  <c r="I37" i="1"/>
  <c r="C37" i="1"/>
  <c r="I36" i="1"/>
  <c r="C36" i="1"/>
  <c r="I35" i="1"/>
  <c r="C35" i="1"/>
  <c r="I34" i="1"/>
  <c r="C34" i="1"/>
  <c r="I33" i="1"/>
  <c r="C33" i="1"/>
  <c r="I32" i="1"/>
  <c r="C32" i="1"/>
  <c r="I31" i="1"/>
  <c r="C31" i="1"/>
  <c r="I30" i="1"/>
  <c r="C30" i="1"/>
  <c r="I29" i="1"/>
  <c r="C29" i="1"/>
  <c r="I28" i="1"/>
  <c r="C28" i="1"/>
  <c r="I27" i="1"/>
  <c r="C27" i="1"/>
  <c r="I26" i="1"/>
  <c r="C26" i="1"/>
  <c r="I25" i="1"/>
  <c r="C25" i="1"/>
  <c r="I24" i="1"/>
  <c r="C24" i="1"/>
  <c r="I23" i="1"/>
  <c r="C23" i="1"/>
  <c r="I22" i="1"/>
  <c r="C22" i="1"/>
  <c r="I21" i="1"/>
  <c r="C21" i="1"/>
  <c r="I20" i="1"/>
  <c r="C20" i="1"/>
  <c r="I19" i="1"/>
  <c r="C19" i="1"/>
  <c r="I18" i="1"/>
  <c r="C18" i="1"/>
  <c r="I17" i="1"/>
  <c r="C17" i="1"/>
  <c r="I16" i="1"/>
  <c r="C16" i="1"/>
  <c r="I15" i="1"/>
  <c r="C15" i="1"/>
  <c r="I14" i="1"/>
  <c r="C14" i="1"/>
  <c r="I13" i="1"/>
  <c r="C13" i="1"/>
  <c r="I12" i="1"/>
  <c r="C12" i="1"/>
  <c r="I11" i="1"/>
  <c r="C11" i="1"/>
  <c r="I10" i="1"/>
  <c r="C10" i="1"/>
  <c r="I9" i="1"/>
  <c r="C9" i="1"/>
  <c r="I8" i="1"/>
  <c r="C8" i="1"/>
  <c r="I7" i="1"/>
  <c r="C7" i="1"/>
  <c r="I6" i="1"/>
  <c r="C6" i="1"/>
  <c r="I5" i="1"/>
  <c r="C5" i="1"/>
  <c r="I4" i="1"/>
  <c r="C4" i="1"/>
  <c r="I3" i="1"/>
  <c r="C3" i="1"/>
  <c r="I2" i="1"/>
  <c r="C2" i="1"/>
  <c r="Y12" i="4"/>
</calcChain>
</file>

<file path=xl/sharedStrings.xml><?xml version="1.0" encoding="utf-8"?>
<sst xmlns="http://schemas.openxmlformats.org/spreadsheetml/2006/main" count="492" uniqueCount="187">
  <si>
    <t>Order ID</t>
  </si>
  <si>
    <t>Date</t>
  </si>
  <si>
    <t>Month</t>
  </si>
  <si>
    <t>Region</t>
  </si>
  <si>
    <t>Product</t>
  </si>
  <si>
    <t>Salesperson</t>
  </si>
  <si>
    <t>Qty</t>
  </si>
  <si>
    <t>Unit Price</t>
  </si>
  <si>
    <t>ORD0001</t>
  </si>
  <si>
    <t>13-Jan-2021</t>
  </si>
  <si>
    <t>South</t>
  </si>
  <si>
    <t>Monitor</t>
  </si>
  <si>
    <t>Karan</t>
  </si>
  <si>
    <t>ORD0002</t>
  </si>
  <si>
    <t>22-Feb-2021</t>
  </si>
  <si>
    <t>East</t>
  </si>
  <si>
    <t>Scanner</t>
  </si>
  <si>
    <t>Simran</t>
  </si>
  <si>
    <t>ORD0003</t>
  </si>
  <si>
    <t>17-Feb-2021</t>
  </si>
  <si>
    <t>North</t>
  </si>
  <si>
    <t>Amit</t>
  </si>
  <si>
    <t>ORD0004</t>
  </si>
  <si>
    <t>29-Nov-2021</t>
  </si>
  <si>
    <t>West</t>
  </si>
  <si>
    <t>Vikas</t>
  </si>
  <si>
    <t>ORD0005</t>
  </si>
  <si>
    <t>04-Jan-2021</t>
  </si>
  <si>
    <t>Speaker</t>
  </si>
  <si>
    <t>ORD0006</t>
  </si>
  <si>
    <t>21-Mar-2021</t>
  </si>
  <si>
    <t>Mouse</t>
  </si>
  <si>
    <t>Ravi</t>
  </si>
  <si>
    <t>ORD0007</t>
  </si>
  <si>
    <t>19-Feb-2021</t>
  </si>
  <si>
    <t>Pooja</t>
  </si>
  <si>
    <t>ORD0008</t>
  </si>
  <si>
    <t>24-Aug-2021</t>
  </si>
  <si>
    <t>Printer</t>
  </si>
  <si>
    <t>ORD0009</t>
  </si>
  <si>
    <t>18-Nov-2021</t>
  </si>
  <si>
    <t>ORD0010</t>
  </si>
  <si>
    <t>24-Jan-2021</t>
  </si>
  <si>
    <t>ORD0011</t>
  </si>
  <si>
    <t>21-Feb-2021</t>
  </si>
  <si>
    <t>ORD0012</t>
  </si>
  <si>
    <t>06-Jul-2021</t>
  </si>
  <si>
    <t>Ajay</t>
  </si>
  <si>
    <t>ORD0013</t>
  </si>
  <si>
    <t>17-May-2021</t>
  </si>
  <si>
    <t>Neha</t>
  </si>
  <si>
    <t>ORD0014</t>
  </si>
  <si>
    <t>06-May-2021</t>
  </si>
  <si>
    <t>ORD0015</t>
  </si>
  <si>
    <t>24-Nov-2021</t>
  </si>
  <si>
    <t>ORD0016</t>
  </si>
  <si>
    <t>29-Jan-2021</t>
  </si>
  <si>
    <t>Keyboard</t>
  </si>
  <si>
    <t>ORD0017</t>
  </si>
  <si>
    <t>03-Feb-2021</t>
  </si>
  <si>
    <t>ORD0018</t>
  </si>
  <si>
    <t>13-Sep-2021</t>
  </si>
  <si>
    <t>ORD0019</t>
  </si>
  <si>
    <t>13-Mar-2021</t>
  </si>
  <si>
    <t>ORD0020</t>
  </si>
  <si>
    <t>08-Aug-2021</t>
  </si>
  <si>
    <t>ORD0021</t>
  </si>
  <si>
    <t>10-Sep-2021</t>
  </si>
  <si>
    <t>ORD0022</t>
  </si>
  <si>
    <t>23-Mar-2021</t>
  </si>
  <si>
    <t>ORD0023</t>
  </si>
  <si>
    <t>02-Nov-2021</t>
  </si>
  <si>
    <t>ORD0024</t>
  </si>
  <si>
    <t>06-Jan-2021</t>
  </si>
  <si>
    <t>ORD0025</t>
  </si>
  <si>
    <t>24-Jun-2021</t>
  </si>
  <si>
    <t>ORD0026</t>
  </si>
  <si>
    <t>02-Jan-2021</t>
  </si>
  <si>
    <t>ORD0027</t>
  </si>
  <si>
    <t>24-Feb-2021</t>
  </si>
  <si>
    <t>ORD0028</t>
  </si>
  <si>
    <t>24-Mar-2021</t>
  </si>
  <si>
    <t>ORD0029</t>
  </si>
  <si>
    <t>27-Feb-2021</t>
  </si>
  <si>
    <t>ORD0030</t>
  </si>
  <si>
    <t>18-Oct-2021</t>
  </si>
  <si>
    <t>ORD0031</t>
  </si>
  <si>
    <t>30-Sep-2021</t>
  </si>
  <si>
    <t>ORD0032</t>
  </si>
  <si>
    <t>26-Mar-2021</t>
  </si>
  <si>
    <t>ORD0033</t>
  </si>
  <si>
    <t>04-Oct-2021</t>
  </si>
  <si>
    <t>ORD0034</t>
  </si>
  <si>
    <t>ORD0035</t>
  </si>
  <si>
    <t>26-Apr-2021</t>
  </si>
  <si>
    <t>ORD0036</t>
  </si>
  <si>
    <t>28-Apr-2021</t>
  </si>
  <si>
    <t>ORD0037</t>
  </si>
  <si>
    <t>31-Jan-2021</t>
  </si>
  <si>
    <t>ORD0038</t>
  </si>
  <si>
    <t>06-Feb-2021</t>
  </si>
  <si>
    <t>ORD0039</t>
  </si>
  <si>
    <t>09-Mar-2021</t>
  </si>
  <si>
    <t>ORD0040</t>
  </si>
  <si>
    <t>08-Apr-2021</t>
  </si>
  <si>
    <t>ORD0041</t>
  </si>
  <si>
    <t>30-Jul-2021</t>
  </si>
  <si>
    <t>ORD0042</t>
  </si>
  <si>
    <t>27-Nov-2021</t>
  </si>
  <si>
    <t>ORD0043</t>
  </si>
  <si>
    <t>25-Feb-2021</t>
  </si>
  <si>
    <t>ORD0044</t>
  </si>
  <si>
    <t>ORD0045</t>
  </si>
  <si>
    <t>08-Feb-2021</t>
  </si>
  <si>
    <t>ORD0046</t>
  </si>
  <si>
    <t>ORD0047</t>
  </si>
  <si>
    <t>06-Sep-2021</t>
  </si>
  <si>
    <t>ORD0048</t>
  </si>
  <si>
    <t>ORD0049</t>
  </si>
  <si>
    <t>21-Aug-2021</t>
  </si>
  <si>
    <t>ORD0050</t>
  </si>
  <si>
    <t>01-Jun-2021</t>
  </si>
  <si>
    <t>ORD0051</t>
  </si>
  <si>
    <t>30-Jan-2021</t>
  </si>
  <si>
    <t>ORD0052</t>
  </si>
  <si>
    <t>29-Sep-2021</t>
  </si>
  <si>
    <t>ORD0053</t>
  </si>
  <si>
    <t>05-Feb-2021</t>
  </si>
  <si>
    <t>ORD0054</t>
  </si>
  <si>
    <t>19-Oct-2021</t>
  </si>
  <si>
    <t>ORD0055</t>
  </si>
  <si>
    <t>03-Aug-2021</t>
  </si>
  <si>
    <t>ORD0056</t>
  </si>
  <si>
    <t>10-Jun-2021</t>
  </si>
  <si>
    <t>ORD0057</t>
  </si>
  <si>
    <t>ORD0058</t>
  </si>
  <si>
    <t>07-Feb-2021</t>
  </si>
  <si>
    <t>ORD0059</t>
  </si>
  <si>
    <t>20-Apr-2021</t>
  </si>
  <si>
    <t>ORD0060</t>
  </si>
  <si>
    <t>ORD0061</t>
  </si>
  <si>
    <t>06-Oct-2021</t>
  </si>
  <si>
    <t>ORD0062</t>
  </si>
  <si>
    <t>11-Oct-2021</t>
  </si>
  <si>
    <t>ORD0063</t>
  </si>
  <si>
    <t>10-Mar-2021</t>
  </si>
  <si>
    <t>ORD0064</t>
  </si>
  <si>
    <t>ORD0065</t>
  </si>
  <si>
    <t>15-Apr-2021</t>
  </si>
  <si>
    <t>ORD0066</t>
  </si>
  <si>
    <t>27-Jan-2021</t>
  </si>
  <si>
    <t>ORD0067</t>
  </si>
  <si>
    <t>23-Jan-2021</t>
  </si>
  <si>
    <t>ORD0068</t>
  </si>
  <si>
    <t>ORD0069</t>
  </si>
  <si>
    <t>ORD0070</t>
  </si>
  <si>
    <t>09-Jul-2021</t>
  </si>
  <si>
    <t>ORD0071</t>
  </si>
  <si>
    <t>ORD0072</t>
  </si>
  <si>
    <t>08-Dec-2021</t>
  </si>
  <si>
    <t>ORD0073</t>
  </si>
  <si>
    <t>ORD0074</t>
  </si>
  <si>
    <t>ORD0075</t>
  </si>
  <si>
    <t>ORD0076</t>
  </si>
  <si>
    <t>ORD0077</t>
  </si>
  <si>
    <t>ORD0078</t>
  </si>
  <si>
    <t>04-Dec-2021</t>
  </si>
  <si>
    <t>ORD0079</t>
  </si>
  <si>
    <t>ORD0080</t>
  </si>
  <si>
    <t>17-Dec-2021</t>
  </si>
  <si>
    <t>Row Labels</t>
  </si>
  <si>
    <t>Grand Total</t>
  </si>
  <si>
    <t>Sum of Qty</t>
  </si>
  <si>
    <t>Jan</t>
  </si>
  <si>
    <t>Feb</t>
  </si>
  <si>
    <t>Mar</t>
  </si>
  <si>
    <t>Apr</t>
  </si>
  <si>
    <t>May</t>
  </si>
  <si>
    <t>Jun</t>
  </si>
  <si>
    <t>Jul</t>
  </si>
  <si>
    <t>Aug</t>
  </si>
  <si>
    <t>Sep</t>
  </si>
  <si>
    <t>Oct</t>
  </si>
  <si>
    <t>Nov</t>
  </si>
  <si>
    <t>Dec</t>
  </si>
  <si>
    <t>Total Sales</t>
  </si>
  <si>
    <t>Sum of Total Sales</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</si>
</sst>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[Sales_Performance_Dashboard.xlsx]PVT. TABLE!PivotTable5</c:name>
    <c:fmtId val="19"/>
  </c:pivotSource>
  <c:chart>
    <c:title>
      <c:tx>
        <c:rich>
          <a:bodyPr/>
          <a:lstStyle/>
          <a:p>
            <a:pPr>
              <a:defRPr/>
            </a:pPr>
            <a:r>
              <a:rPr lang="en-US" sz="1200" b="0">
                <a:latin typeface="Arial" pitchFamily="34" charset="0"/>
                <a:cs typeface="Arial" pitchFamily="34" charset="0"/>
              </a:rPr>
              <a:t>SALES</a:t>
            </a:r>
            <a:r>
              <a:rPr lang="en-US" sz="1200" b="0" baseline="0">
                <a:latin typeface="Arial" pitchFamily="34" charset="0"/>
                <a:cs typeface="Arial" pitchFamily="34" charset="0"/>
              </a:rPr>
              <a:t> BY PRODUCT</a:t>
            </a:r>
            <a:endParaRPr lang="en-US" sz="1200" b="0">
              <a:latin typeface="Arial" pitchFamily="34" charset="0"/>
              <a:cs typeface="Arial" pitchFamily="34" charset="0"/>
            </a:endParaRPr>
          </a:p>
        </c:rich>
      </c:tx>
      <c:layout/>
      <c:overlay val="0"/>
    </c:title>
    <c:autoTitleDeleted val="0"/>
    <c:pivotFmts>
      <c:pivotFmt>
        <c:idx val="0"/>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1"/>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2"/>
        <c:spPr>
          <a:solidFill>
            <a:srgbClr val="FF0066"/>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3"/>
        <c:spPr>
          <a:solidFill>
            <a:srgbClr val="FF0066"/>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'PVT. TABLE'!$B$44</c:f>
              <c:strCache>
                <c:ptCount val="1"/>
                <c:pt idx="0">
                  <c:v>Total</c:v>
                </c:pt>
              </c:strCache>
            </c:strRef>
          </c:tx>
          <c:spPr>
            <a:solidFill>
              <a:srgbClr val="FF0066"/>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'PVT. TABLE'!$A$45:$A$51</c:f>
              <c:strCache>
                <c:ptCount val="6"/>
                <c:pt idx="0">
                  <c:v>Keyboard</c:v>
                </c:pt>
                <c:pt idx="1">
                  <c:v>Monitor</c:v>
                </c:pt>
                <c:pt idx="2">
                  <c:v>Mouse</c:v>
                </c:pt>
                <c:pt idx="3">
                  <c:v>Printer</c:v>
                </c:pt>
                <c:pt idx="4">
                  <c:v>Scanner</c:v>
                </c:pt>
                <c:pt idx="5">
                  <c:v>Speaker</c:v>
                </c:pt>
              </c:strCache>
            </c:strRef>
          </c:cat>
          <c:val>
            <c:numRef>
              <c:f>'PVT. TABLE'!$B$45:$B$51</c:f>
              <c:numCache>
                <c:formatCode>General</c:formatCode>
                <c:ptCount val="6"/>
                <c:pt idx="0">
                  <c:v>686047</c:v>
                </c:pt>
                <c:pt idx="1">
                  <c:v>347206</c:v>
                </c:pt>
                <c:pt idx="2">
                  <c:v>914351</c:v>
                </c:pt>
                <c:pt idx="3">
                  <c:v>341205</c:v>
                </c:pt>
                <c:pt idx="4">
                  <c:v>557009</c:v>
                </c:pt>
                <c:pt idx="5">
                  <c:v>603632</c:v>
                </c:pt>
              </c:numCache>
            </c:numRef>
          </c:val>
        </c:ser>
        <c:dLbls>
          <c:showLegendKey val="0"/>
          <c:showVal val="0"/>
          <c:showCatName val="0"/>
          <c:showSerName val="0"/>
          <c:showPercent val="0"/>
          <c:showBubbleSize val="0"/>
        </c:dLbls>
        <c:gapWidth val="150"/>
        <c:axId val="192377216"/>
        <c:axId val="192378752"/>
      </c:barChart>
      <c:catAx>
        <c:axId val="192377216"/>
        <c:scaling>
          <c:orientation val="minMax"/>
        </c:scaling>
        <c:delete val="0"/>
        <c:axPos val="l"/>
        <c:majorTickMark val="out"/>
        <c:minorTickMark val="none"/>
        <c:tickLblPos val="nextTo"/>
        <c:txPr>
          <a:bodyPr/>
          <a:lstStyle/>
          <a:p>
            <a:pPr>
              <a:defRPr>
                <a:latin typeface="Arial" pitchFamily="34" charset="0"/>
                <a:cs typeface="Arial" pitchFamily="34" charset="0"/>
              </a:defRPr>
            </a:pPr>
            <a:endParaRPr lang="en-US"/>
          </a:p>
        </c:txPr>
        <c:crossAx val="192378752"/>
        <c:crosses val="autoZero"/>
        <c:auto val="1"/>
        <c:lblAlgn val="ctr"/>
        <c:lblOffset val="100"/>
        <c:noMultiLvlLbl val="0"/>
      </c:catAx>
      <c:valAx>
        <c:axId val="192378752"/>
        <c:scaling>
          <c:orientation val="minMax"/>
        </c:scaling>
        <c:delete val="0"/>
        <c:axPos val="b"/>
        <c:numFmt formatCode="General" sourceLinked="1"/>
        <c:majorTickMark val="out"/>
        <c:minorTickMark val="none"/>
        <c:tickLblPos val="nextTo"/>
        <c:crossAx val="192377216"/>
        <c:crosses val="autoZero"/>
        <c:crossBetween val="between"/>
      </c:valAx>
    </c:plotArea>
    <c:legend>
      <c:legendPos val="r"/>
      <c:layout>
        <c:manualLayout>
          <c:xMode val="edge"/>
          <c:yMode val="edge"/>
          <c:x val="0.81470305439537261"/>
          <c:y val="0.14665877272252525"/>
          <c:w val="0.15714218754552586"/>
          <c:h val="0.13576637860960625"/>
        </c:manualLayout>
      </c:layout>
      <c:overlay val="0"/>
    </c:legend>
    <c:plotVisOnly val="1"/>
    <c:dispBlanksAs val="gap"/>
    <c:showDLblsOverMax val="0"/>
  </c:chart>
  <c:spPr>
    <a:solidFill>
      <a:sysClr val="window" lastClr="FFFFFF"/>
    </a:solidFill>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[Sales_Performance_Dashboard.xlsx]PVT. TABLE!PivotTable6</c:name>
    <c:fmtId val="22"/>
  </c:pivotSource>
  <c:chart>
    <c:title>
      <c:tx>
        <c:rich>
          <a:bodyPr/>
          <a:lstStyle/>
          <a:p>
            <a:pPr>
              <a:defRPr sz="1200" b="0">
                <a:latin typeface="Arial" pitchFamily="34" charset="0"/>
                <a:cs typeface="Arial" pitchFamily="34" charset="0"/>
              </a:defRPr>
            </a:pPr>
            <a:r>
              <a:rPr lang="en-US" sz="1200" b="0" i="0" baseline="0">
                <a:effectLst/>
                <a:latin typeface="Arial" pitchFamily="34" charset="0"/>
                <a:cs typeface="Arial" pitchFamily="34" charset="0"/>
              </a:rPr>
              <a:t>SALES BY REGION</a:t>
            </a:r>
            <a:endParaRPr lang="en-US" sz="1200" b="0">
              <a:effectLst/>
              <a:latin typeface="Arial" pitchFamily="34" charset="0"/>
              <a:cs typeface="Arial" pitchFamily="34" charset="0"/>
            </a:endParaRPr>
          </a:p>
        </c:rich>
      </c:tx>
      <c:layout/>
      <c:overlay val="0"/>
      <c:spPr>
        <a:solidFill>
          <a:schemeClr val="bg1"/>
        </a:solidFill>
        <a:ln>
          <a:solidFill>
            <a:schemeClr val="bg1"/>
          </a:solidFill>
        </a:ln>
      </c:spPr>
    </c:title>
    <c:autoTitleDeleted val="0"/>
    <c:pivotFmts>
      <c:pivotFmt>
        <c:idx val="0"/>
        <c:spPr>
          <a:solidFill>
            <a:srgbClr val="FF3399"/>
          </a:solidFill>
        </c:spPr>
      </c:pivotFmt>
      <c:pivotFmt>
        <c:idx val="1"/>
        <c:spPr>
          <a:solidFill>
            <a:srgbClr val="FF3399"/>
          </a:solidFill>
        </c:spPr>
        <c:marker>
          <c:symbol val="none"/>
        </c:marker>
      </c:pivotFmt>
      <c:pivotFmt>
        <c:idx val="2"/>
        <c:spPr>
          <a:solidFill>
            <a:srgbClr val="FF0066"/>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3"/>
        <c:spPr>
          <a:solidFill>
            <a:srgbClr val="FF0066"/>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0.23399866014565884"/>
          <c:y val="0.23655427263403703"/>
          <c:w val="0.71547503011797042"/>
          <c:h val="0.58867420598974629"/>
        </c:manualLayout>
      </c:layout>
      <c:barChart>
        <c:barDir val="col"/>
        <c:grouping val="clustered"/>
        <c:varyColors val="0"/>
        <c:ser>
          <c:idx val="0"/>
          <c:order val="0"/>
          <c:tx>
            <c:strRef>
              <c:f>'PVT. TABLE'!$I$44</c:f>
              <c:strCache>
                <c:ptCount val="1"/>
                <c:pt idx="0">
                  <c:v>Total</c:v>
                </c:pt>
              </c:strCache>
            </c:strRef>
          </c:tx>
          <c:spPr>
            <a:solidFill>
              <a:srgbClr val="FF0066"/>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'PVT. TABLE'!$H$45:$H$49</c:f>
              <c:strCache>
                <c:ptCount val="4"/>
                <c:pt idx="0">
                  <c:v>East</c:v>
                </c:pt>
                <c:pt idx="1">
                  <c:v>North</c:v>
                </c:pt>
                <c:pt idx="2">
                  <c:v>South</c:v>
                </c:pt>
                <c:pt idx="3">
                  <c:v>West</c:v>
                </c:pt>
              </c:strCache>
            </c:strRef>
          </c:cat>
          <c:val>
            <c:numRef>
              <c:f>'PVT. TABLE'!$I$45:$I$49</c:f>
              <c:numCache>
                <c:formatCode>General</c:formatCode>
                <c:ptCount val="4"/>
                <c:pt idx="0">
                  <c:v>805190</c:v>
                </c:pt>
                <c:pt idx="1">
                  <c:v>1189441</c:v>
                </c:pt>
                <c:pt idx="2">
                  <c:v>890832</c:v>
                </c:pt>
                <c:pt idx="3">
                  <c:v>563987</c:v>
                </c:pt>
              </c:numCache>
            </c:numRef>
          </c:val>
        </c:ser>
        <c:dLbls>
          <c:showLegendKey val="0"/>
          <c:showVal val="0"/>
          <c:showCatName val="0"/>
          <c:showSerName val="0"/>
          <c:showPercent val="0"/>
          <c:showBubbleSize val="0"/>
        </c:dLbls>
        <c:gapWidth val="150"/>
        <c:axId val="192405504"/>
        <c:axId val="192407040"/>
      </c:barChart>
      <c:catAx>
        <c:axId val="192405504"/>
        <c:scaling>
          <c:orientation val="minMax"/>
        </c:scaling>
        <c:delete val="0"/>
        <c:axPos val="b"/>
        <c:majorTickMark val="out"/>
        <c:minorTickMark val="none"/>
        <c:tickLblPos val="nextTo"/>
        <c:crossAx val="192407040"/>
        <c:crosses val="autoZero"/>
        <c:auto val="1"/>
        <c:lblAlgn val="ctr"/>
        <c:lblOffset val="100"/>
        <c:noMultiLvlLbl val="0"/>
      </c:catAx>
      <c:valAx>
        <c:axId val="192407040"/>
        <c:scaling>
          <c:orientation val="minMax"/>
        </c:scaling>
        <c:delete val="0"/>
        <c:axPos val="l"/>
        <c:numFmt formatCode="General" sourceLinked="1"/>
        <c:majorTickMark val="out"/>
        <c:minorTickMark val="none"/>
        <c:tickLblPos val="nextTo"/>
        <c:crossAx val="192405504"/>
        <c:crosses val="autoZero"/>
        <c:crossBetween val="between"/>
      </c:valAx>
    </c:plotArea>
    <c:legend>
      <c:legendPos val="r"/>
      <c:layout>
        <c:manualLayout>
          <c:xMode val="edge"/>
          <c:yMode val="edge"/>
          <c:x val="0.7897190618719433"/>
          <c:y val="0.19293884732623567"/>
          <c:w val="0.17833001244971955"/>
          <c:h val="0.13138681319767898"/>
        </c:manualLayout>
      </c:layout>
      <c:overlay val="0"/>
    </c:legend>
    <c:plotVisOnly val="1"/>
    <c:dispBlanksAs val="gap"/>
    <c:showDLblsOverMax val="0"/>
  </c:chart>
  <c:spPr>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[Sales_Performance_Dashboard.xlsx]PVT. TABLE!PivotTable7</c:name>
    <c:fmtId val="25"/>
  </c:pivotSource>
  <c:chart>
    <c:title>
      <c:tx>
        <c:rich>
          <a:bodyPr/>
          <a:lstStyle/>
          <a:p>
            <a:pPr>
              <a:defRPr/>
            </a:pPr>
            <a:r>
              <a:rPr lang="en-US" sz="1200" b="0"/>
              <a:t>SALES BY MONTH</a:t>
            </a:r>
          </a:p>
        </c:rich>
      </c:tx>
      <c:layout/>
      <c:overlay val="0"/>
    </c:title>
    <c:autoTitleDeleted val="0"/>
    <c:pivotFmts>
      <c:pivotFmt>
        <c:idx val="0"/>
        <c:marker>
          <c:symbol val="none"/>
        </c:marker>
      </c:pivotFmt>
      <c:pivotFmt>
        <c:idx val="1"/>
        <c:marker>
          <c:symbol val="none"/>
        </c:marker>
      </c:pivotFmt>
      <c:pivotFmt>
        <c:idx val="2"/>
        <c:spPr>
          <a:ln>
            <a:solidFill>
              <a:srgbClr val="FF0066"/>
            </a:solidFill>
          </a:ln>
        </c:spPr>
        <c:marker>
          <c:symbol val="none"/>
        </c:marker>
      </c:pivotFmt>
      <c:pivotFmt>
        <c:idx val="3"/>
        <c:spPr>
          <a:ln>
            <a:solidFill>
              <a:srgbClr val="FF0066"/>
            </a:solidFill>
          </a:ln>
        </c:spPr>
        <c:marker>
          <c:symbol val="none"/>
        </c:marker>
      </c:pivotFmt>
    </c:pivotFmts>
    <c:plotArea>
      <c:layout>
        <c:manualLayout>
          <c:layoutTarget val="inner"/>
          <c:xMode val="edge"/>
          <c:yMode val="edge"/>
          <c:x val="0.17451755253564719"/>
          <c:y val="0.24244896210308436"/>
          <c:w val="0.6173831305876526"/>
          <c:h val="0.54329294687136753"/>
        </c:manualLayout>
      </c:layout>
      <c:lineChart>
        <c:grouping val="standard"/>
        <c:varyColors val="0"/>
        <c:ser>
          <c:idx val="0"/>
          <c:order val="0"/>
          <c:tx>
            <c:strRef>
              <c:f>'PVT. TABLE'!$P$44</c:f>
              <c:strCache>
                <c:ptCount val="1"/>
                <c:pt idx="0">
                  <c:v>Total</c:v>
                </c:pt>
              </c:strCache>
            </c:strRef>
          </c:tx>
          <c:spPr>
            <a:ln>
              <a:solidFill>
                <a:srgbClr val="FF0066"/>
              </a:solidFill>
            </a:ln>
          </c:spPr>
          <c:marker>
            <c:symbol val="none"/>
          </c:marker>
          <c:cat>
            <c:strRef>
              <c:f>'PVT. TABLE'!$O$45:$O$57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 TABLE'!$P$45:$P$57</c:f>
              <c:numCache>
                <c:formatCode>General</c:formatCode>
                <c:ptCount val="12"/>
                <c:pt idx="0">
                  <c:v>565798</c:v>
                </c:pt>
                <c:pt idx="1">
                  <c:v>652128</c:v>
                </c:pt>
                <c:pt idx="2">
                  <c:v>558408</c:v>
                </c:pt>
                <c:pt idx="3">
                  <c:v>195789</c:v>
                </c:pt>
                <c:pt idx="4">
                  <c:v>131758</c:v>
                </c:pt>
                <c:pt idx="5">
                  <c:v>156456</c:v>
                </c:pt>
                <c:pt idx="6">
                  <c:v>237944</c:v>
                </c:pt>
                <c:pt idx="7">
                  <c:v>198121</c:v>
                </c:pt>
                <c:pt idx="8">
                  <c:v>174762</c:v>
                </c:pt>
                <c:pt idx="9">
                  <c:v>237019</c:v>
                </c:pt>
                <c:pt idx="10">
                  <c:v>281804</c:v>
                </c:pt>
                <c:pt idx="11">
                  <c:v>59463</c:v>
                </c:pt>
              </c:numCache>
            </c:numRef>
          </c:val>
          <c:smooth val="0"/>
        </c:ser>
        <c:dLbls>
          <c:showLegendKey val="0"/>
          <c:showVal val="0"/>
          <c:showCatName val="0"/>
          <c:showSerName val="0"/>
          <c:showPercent val="0"/>
          <c:showBubbleSize val="0"/>
        </c:dLbls>
        <c:marker val="1"/>
        <c:smooth val="0"/>
        <c:axId val="192116992"/>
        <c:axId val="192122880"/>
      </c:lineChart>
      <c:catAx>
        <c:axId val="192116992"/>
        <c:scaling>
          <c:orientation val="minMax"/>
        </c:scaling>
        <c:delete val="0"/>
        <c:axPos val="b"/>
        <c:majorTickMark val="out"/>
        <c:minorTickMark val="none"/>
        <c:tickLblPos val="nextTo"/>
        <c:crossAx val="192122880"/>
        <c:crosses val="autoZero"/>
        <c:auto val="1"/>
        <c:lblAlgn val="ctr"/>
        <c:lblOffset val="100"/>
        <c:noMultiLvlLbl val="0"/>
      </c:catAx>
      <c:valAx>
        <c:axId val="192122880"/>
        <c:scaling>
          <c:orientation val="minMax"/>
        </c:scaling>
        <c:delete val="0"/>
        <c:axPos val="l"/>
        <c:numFmt formatCode="General" sourceLinked="1"/>
        <c:majorTickMark val="out"/>
        <c:minorTickMark val="none"/>
        <c:tickLblPos val="nextTo"/>
        <c:crossAx val="192116992"/>
        <c:crosses val="autoZero"/>
        <c:crossBetween val="between"/>
      </c:valAx>
    </c:plotArea>
    <c:legend>
      <c:legendPos val="r"/>
      <c:layout>
        <c:manualLayout>
          <c:xMode val="edge"/>
          <c:yMode val="edge"/>
          <c:x val="0.76545624099245491"/>
          <c:y val="0.20286286840561368"/>
          <c:w val="0.19676598453490948"/>
          <c:h val="0.13138674102346062"/>
        </c:manualLayout>
      </c:layout>
      <c:overlay val="0"/>
    </c:legend>
    <c:plotVisOnly val="1"/>
    <c:dispBlanksAs val="gap"/>
    <c:showDLblsOverMax val="0"/>
  </c:chart>
  <c:spPr>
    <a:solidFill>
      <a:sysClr val="window" lastClr="FFFFFF"/>
    </a:solidFill>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[Sales_Performance_Dashboard.xlsx]PVT. TABLE!PivotTable3</c:name>
    <c:fmtId val="22"/>
  </c:pivotSource>
  <c:chart>
    <c:title>
      <c:tx>
        <c:rich>
          <a:bodyPr/>
          <a:lstStyle/>
          <a:p>
            <a:pPr>
              <a:defRPr sz="1600"/>
            </a:pPr>
            <a:r>
              <a:rPr lang="en-US" sz="1600" b="0"/>
              <a:t>SALES OF PRODUCT</a:t>
            </a:r>
            <a:r>
              <a:rPr lang="en-US" sz="1600" b="0" baseline="0"/>
              <a:t> IN QNTY.</a:t>
            </a:r>
            <a:endParaRPr lang="en-US" sz="1600" b="0"/>
          </a:p>
        </c:rich>
      </c:tx>
      <c:layout/>
      <c:overlay val="0"/>
    </c:title>
    <c:autoTitleDeleted val="0"/>
    <c:pivotFmts>
      <c:pivotFmt>
        <c:idx val="0"/>
        <c:marker>
          <c:symbol val="none"/>
        </c:marker>
      </c:pivotFmt>
      <c:pivotFmt>
        <c:idx val="1"/>
        <c:marker>
          <c:symbol val="none"/>
        </c:marker>
      </c:pivotFmt>
      <c:pivotFmt>
        <c:idx val="2"/>
        <c:spPr>
          <a:solidFill>
            <a:srgbClr val="FF0066"/>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'PVT. TABLE'!$B$12</c:f>
              <c:strCache>
                <c:ptCount val="1"/>
                <c:pt idx="0">
                  <c:v>Total</c:v>
                </c:pt>
              </c:strCache>
            </c:strRef>
          </c:tx>
          <c:spPr>
            <a:solidFill>
              <a:srgbClr val="FF0066"/>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'PVT. TABLE'!$A$13:$A$19</c:f>
              <c:strCache>
                <c:ptCount val="6"/>
                <c:pt idx="0">
                  <c:v>Keyboard</c:v>
                </c:pt>
                <c:pt idx="1">
                  <c:v>Monitor</c:v>
                </c:pt>
                <c:pt idx="2">
                  <c:v>Mouse</c:v>
                </c:pt>
                <c:pt idx="3">
                  <c:v>Printer</c:v>
                </c:pt>
                <c:pt idx="4">
                  <c:v>Scanner</c:v>
                </c:pt>
                <c:pt idx="5">
                  <c:v>Speaker</c:v>
                </c:pt>
              </c:strCache>
            </c:strRef>
          </c:cat>
          <c:val>
            <c:numRef>
              <c:f>'PVT. TABLE'!$B$13:$B$19</c:f>
              <c:numCache>
                <c:formatCode>General</c:formatCode>
                <c:ptCount val="6"/>
                <c:pt idx="0">
                  <c:v>287</c:v>
                </c:pt>
                <c:pt idx="1">
                  <c:v>186</c:v>
                </c:pt>
                <c:pt idx="2">
                  <c:v>452</c:v>
                </c:pt>
                <c:pt idx="3">
                  <c:v>159</c:v>
                </c:pt>
                <c:pt idx="4">
                  <c:v>274</c:v>
                </c:pt>
                <c:pt idx="5">
                  <c:v>276</c:v>
                </c:pt>
              </c:numCache>
            </c:numRef>
          </c:val>
        </c:ser>
        <c:dLbls>
          <c:showLegendKey val="0"/>
          <c:showVal val="0"/>
          <c:showCatName val="0"/>
          <c:showSerName val="0"/>
          <c:showPercent val="0"/>
          <c:showBubbleSize val="0"/>
        </c:dLbls>
        <c:gapWidth val="150"/>
        <c:axId val="192443520"/>
        <c:axId val="192445056"/>
      </c:barChart>
      <c:catAx>
        <c:axId val="192443520"/>
        <c:scaling>
          <c:orientation val="minMax"/>
        </c:scaling>
        <c:delete val="0"/>
        <c:axPos val="b"/>
        <c:majorTickMark val="out"/>
        <c:minorTickMark val="none"/>
        <c:tickLblPos val="nextTo"/>
        <c:crossAx val="192445056"/>
        <c:crosses val="autoZero"/>
        <c:auto val="1"/>
        <c:lblAlgn val="ctr"/>
        <c:lblOffset val="100"/>
        <c:noMultiLvlLbl val="0"/>
      </c:catAx>
      <c:valAx>
        <c:axId val="192445056"/>
        <c:scaling>
          <c:orientation val="minMax"/>
        </c:scaling>
        <c:delete val="0"/>
        <c:axPos val="l"/>
        <c:numFmt formatCode="General" sourceLinked="1"/>
        <c:majorTickMark val="out"/>
        <c:minorTickMark val="none"/>
        <c:tickLblPos val="nextTo"/>
        <c:crossAx val="192443520"/>
        <c:crosses val="autoZero"/>
        <c:crossBetween val="between"/>
      </c:valAx>
    </c:plotArea>
    <c:legend>
      <c:legendPos val="r"/>
      <c:layout/>
      <c:overlay val="0"/>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[Sales_Performance_Dashboard.xlsx]PVT. TABLE!PivotTable10</c:name>
    <c:fmtId val="30"/>
  </c:pivotSource>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r>
              <a:rPr lang="en-US" sz="1600" b="0" i="0" baseline="0">
                <a:effectLst/>
              </a:rPr>
              <a:t>TOP 3 SELLING PRODUCT IN QNTY.</a:t>
            </a:r>
            <a:endParaRPr lang="en-US" sz="1600"/>
          </a:p>
        </c:rich>
      </c:tx>
      <c:layout/>
      <c:overlay val="0"/>
    </c:title>
    <c:autoTitleDeleted val="0"/>
    <c:pivotFmts>
      <c:pivotFmt>
        <c:idx val="0"/>
        <c:spPr>
          <a:solidFill>
            <a:srgbClr val="FF0066"/>
          </a:solidFill>
        </c:spPr>
        <c:marker>
          <c:symbol val="none"/>
        </c:marker>
      </c:pivotFmt>
      <c:pivotFmt>
        <c:idx val="1"/>
        <c:spPr>
          <a:solidFill>
            <a:srgbClr val="FF0066"/>
          </a:solidFill>
        </c:spPr>
        <c:marker>
          <c:symbol val="none"/>
        </c:marker>
      </c:pivotFmt>
      <c:pivotFmt>
        <c:idx val="2"/>
        <c:spPr>
          <a:solidFill>
            <a:srgbClr val="FF0066"/>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'PVT. TABLE'!$I$12</c:f>
              <c:strCache>
                <c:ptCount val="1"/>
                <c:pt idx="0">
                  <c:v>Total</c:v>
                </c:pt>
              </c:strCache>
            </c:strRef>
          </c:tx>
          <c:spPr>
            <a:solidFill>
              <a:srgbClr val="FF0066"/>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'PVT. TABLE'!$H$13:$H$19</c:f>
              <c:strCache>
                <c:ptCount val="6"/>
                <c:pt idx="0">
                  <c:v>Keyboard</c:v>
                </c:pt>
                <c:pt idx="1">
                  <c:v>Monitor</c:v>
                </c:pt>
                <c:pt idx="2">
                  <c:v>Mouse</c:v>
                </c:pt>
                <c:pt idx="3">
                  <c:v>Printer</c:v>
                </c:pt>
                <c:pt idx="4">
                  <c:v>Scanner</c:v>
                </c:pt>
                <c:pt idx="5">
                  <c:v>Speaker</c:v>
                </c:pt>
              </c:strCache>
            </c:strRef>
          </c:cat>
          <c:val>
            <c:numRef>
              <c:f>'PVT. TABLE'!$I$13:$I$19</c:f>
              <c:numCache>
                <c:formatCode>General</c:formatCode>
                <c:ptCount val="6"/>
                <c:pt idx="0">
                  <c:v>287</c:v>
                </c:pt>
                <c:pt idx="1">
                  <c:v>186</c:v>
                </c:pt>
                <c:pt idx="2">
                  <c:v>452</c:v>
                </c:pt>
                <c:pt idx="3">
                  <c:v>159</c:v>
                </c:pt>
                <c:pt idx="4">
                  <c:v>274</c:v>
                </c:pt>
                <c:pt idx="5">
                  <c:v>276</c:v>
                </c:pt>
              </c:numCache>
            </c:numRef>
          </c:val>
        </c:ser>
        <c:dLbls>
          <c:showLegendKey val="0"/>
          <c:showVal val="0"/>
          <c:showCatName val="0"/>
          <c:showSerName val="0"/>
          <c:showPercent val="0"/>
          <c:showBubbleSize val="0"/>
        </c:dLbls>
        <c:gapWidth val="150"/>
        <c:axId val="191641856"/>
        <c:axId val="191660032"/>
      </c:barChart>
      <c:catAx>
        <c:axId val="191641856"/>
        <c:scaling>
          <c:orientation val="minMax"/>
        </c:scaling>
        <c:delete val="0"/>
        <c:axPos val="b"/>
        <c:majorTickMark val="out"/>
        <c:minorTickMark val="none"/>
        <c:tickLblPos val="nextTo"/>
        <c:crossAx val="191660032"/>
        <c:crosses val="autoZero"/>
        <c:auto val="1"/>
        <c:lblAlgn val="ctr"/>
        <c:lblOffset val="100"/>
        <c:noMultiLvlLbl val="0"/>
      </c:catAx>
      <c:valAx>
        <c:axId val="191660032"/>
        <c:scaling>
          <c:orientation val="minMax"/>
        </c:scaling>
        <c:delete val="0"/>
        <c:axPos val="l"/>
        <c:numFmt formatCode="General" sourceLinked="1"/>
        <c:majorTickMark val="out"/>
        <c:minorTickMark val="none"/>
        <c:tickLblPos val="nextTo"/>
        <c:crossAx val="191641856"/>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[Sales_Performance_Dashboard.xlsx]PVT. TABLE!PivotTable9</c:name>
    <c:fmtId val="31"/>
  </c:pivotSource>
  <c:chart>
    <c:title>
      <c:tx>
        <c:rich>
          <a:bodyPr/>
          <a:lstStyle/>
          <a:p>
            <a:pPr>
              <a:defRPr sz="1600"/>
            </a:pPr>
            <a:r>
              <a:rPr lang="en-US" sz="1600" b="0" i="0" baseline="0">
                <a:effectLst/>
              </a:rPr>
              <a:t>BOTTOM 3 SELLING PRODUCT IN QNTY.</a:t>
            </a:r>
            <a:endParaRPr lang="en-US" sz="1600">
              <a:effectLst/>
            </a:endParaRPr>
          </a:p>
        </c:rich>
      </c:tx>
      <c:layout/>
      <c:overlay val="0"/>
    </c:title>
    <c:autoTitleDeleted val="0"/>
    <c:pivotFmts>
      <c:pivotFmt>
        <c:idx val="0"/>
        <c:spPr>
          <a:solidFill>
            <a:srgbClr val="FF0066"/>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1"/>
        <c:spPr>
          <a:solidFill>
            <a:srgbClr val="FF0066"/>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2"/>
        <c:spPr>
          <a:solidFill>
            <a:srgbClr val="FF0066"/>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'PVT. TABLE'!$P$12</c:f>
              <c:strCache>
                <c:ptCount val="1"/>
                <c:pt idx="0">
                  <c:v>Total</c:v>
                </c:pt>
              </c:strCache>
            </c:strRef>
          </c:tx>
          <c:spPr>
            <a:solidFill>
              <a:srgbClr val="FF0066"/>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'PVT. TABLE'!$O$13:$O$19</c:f>
              <c:strCache>
                <c:ptCount val="6"/>
                <c:pt idx="0">
                  <c:v>Keyboard</c:v>
                </c:pt>
                <c:pt idx="1">
                  <c:v>Monitor</c:v>
                </c:pt>
                <c:pt idx="2">
                  <c:v>Mouse</c:v>
                </c:pt>
                <c:pt idx="3">
                  <c:v>Printer</c:v>
                </c:pt>
                <c:pt idx="4">
                  <c:v>Scanner</c:v>
                </c:pt>
                <c:pt idx="5">
                  <c:v>Speaker</c:v>
                </c:pt>
              </c:strCache>
            </c:strRef>
          </c:cat>
          <c:val>
            <c:numRef>
              <c:f>'PVT. TABLE'!$P$13:$P$19</c:f>
              <c:numCache>
                <c:formatCode>General</c:formatCode>
                <c:ptCount val="6"/>
                <c:pt idx="0">
                  <c:v>287</c:v>
                </c:pt>
                <c:pt idx="1">
                  <c:v>186</c:v>
                </c:pt>
                <c:pt idx="2">
                  <c:v>452</c:v>
                </c:pt>
                <c:pt idx="3">
                  <c:v>159</c:v>
                </c:pt>
                <c:pt idx="4">
                  <c:v>274</c:v>
                </c:pt>
                <c:pt idx="5">
                  <c:v>276</c:v>
                </c:pt>
              </c:numCache>
            </c:numRef>
          </c:val>
        </c:ser>
        <c:dLbls>
          <c:showLegendKey val="0"/>
          <c:showVal val="0"/>
          <c:showCatName val="0"/>
          <c:showSerName val="0"/>
          <c:showPercent val="0"/>
          <c:showBubbleSize val="0"/>
        </c:dLbls>
        <c:gapWidth val="150"/>
        <c:axId val="191687296"/>
        <c:axId val="191693184"/>
      </c:barChart>
      <c:catAx>
        <c:axId val="191687296"/>
        <c:scaling>
          <c:orientation val="minMax"/>
        </c:scaling>
        <c:delete val="0"/>
        <c:axPos val="b"/>
        <c:majorTickMark val="out"/>
        <c:minorTickMark val="none"/>
        <c:tickLblPos val="nextTo"/>
        <c:crossAx val="191693184"/>
        <c:crosses val="autoZero"/>
        <c:auto val="1"/>
        <c:lblAlgn val="ctr"/>
        <c:lblOffset val="100"/>
        <c:noMultiLvlLbl val="0"/>
      </c:catAx>
      <c:valAx>
        <c:axId val="191693184"/>
        <c:scaling>
          <c:orientation val="minMax"/>
        </c:scaling>
        <c:delete val="0"/>
        <c:axPos val="l"/>
        <c:numFmt formatCode="General" sourceLinked="1"/>
        <c:majorTickMark val="out"/>
        <c:minorTickMark val="none"/>
        <c:tickLblPos val="nextTo"/>
        <c:crossAx val="191687296"/>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[Sales_Performance_Dashboard.xlsx]PVT. TABLE!PivotTable1</c:name>
    <c:fmtId val="18"/>
  </c:pivotSource>
  <c:chart>
    <c:title>
      <c:tx>
        <c:rich>
          <a:bodyPr/>
          <a:lstStyle/>
          <a:p>
            <a:pPr>
              <a:defRPr/>
            </a:pPr>
            <a:r>
              <a:rPr lang="en-US" sz="1200" b="0">
                <a:latin typeface="Arial" pitchFamily="34" charset="0"/>
                <a:cs typeface="Arial" pitchFamily="34" charset="0"/>
              </a:rPr>
              <a:t>Salesperson</a:t>
            </a:r>
            <a:r>
              <a:rPr lang="en-US" sz="1200" b="0" baseline="0">
                <a:latin typeface="Arial" pitchFamily="34" charset="0"/>
                <a:cs typeface="Arial" pitchFamily="34" charset="0"/>
              </a:rPr>
              <a:t> </a:t>
            </a:r>
            <a:r>
              <a:rPr lang="en-US" sz="1200" b="0" i="0" u="none" strike="noStrike" kern="1200" baseline="0">
                <a:solidFill>
                  <a:sysClr val="windowText" lastClr="000000"/>
                </a:solidFill>
                <a:latin typeface="Arial" pitchFamily="34" charset="0"/>
                <a:ea typeface="+mn-ea"/>
                <a:cs typeface="Arial" pitchFamily="34" charset="0"/>
              </a:rPr>
              <a:t>Performance</a:t>
            </a:r>
          </a:p>
        </c:rich>
      </c:tx>
      <c:layout/>
      <c:overlay val="0"/>
    </c:title>
    <c:autoTitleDeleted val="0"/>
    <c:pivotFmts>
      <c:pivotFmt>
        <c:idx val="0"/>
        <c:spPr>
          <a:solidFill>
            <a:srgbClr val="FF3399"/>
          </a:solidFill>
        </c:spPr>
        <c:dLbl>
          <c:idx val="0"/>
          <c:spPr/>
          <c:txPr>
            <a:bodyPr/>
            <a:lstStyle/>
            <a:p>
              <a:pPr>
                <a:defRPr/>
              </a:pPr>
              <a:endParaRPr lang="en-US"/>
            </a:p>
          </c:txPr>
          <c:showLegendKey val="1"/>
          <c:showVal val="1"/>
          <c:showCatName val="1"/>
          <c:showSerName val="1"/>
          <c:showPercent val="1"/>
          <c:showBubbleSize val="1"/>
        </c:dLbl>
      </c:pivotFmt>
      <c:pivotFmt>
        <c:idx val="1"/>
        <c:spPr>
          <a:solidFill>
            <a:srgbClr val="FF3399"/>
          </a:solidFill>
        </c:spPr>
        <c:dLbl>
          <c:idx val="0"/>
          <c:spPr/>
          <c:txPr>
            <a:bodyPr/>
            <a:lstStyle/>
            <a:p>
              <a:pPr>
                <a:defRPr/>
              </a:pPr>
              <a:endParaRPr lang="en-US"/>
            </a:p>
          </c:txPr>
          <c:showLegendKey val="1"/>
          <c:showVal val="1"/>
          <c:showCatName val="1"/>
          <c:showSerName val="1"/>
          <c:showPercent val="1"/>
          <c:showBubbleSize val="1"/>
        </c:dLbl>
      </c:pivotFmt>
      <c:pivotFmt>
        <c:idx val="2"/>
        <c:spPr>
          <a:solidFill>
            <a:srgbClr val="FF3399"/>
          </a:solidFill>
        </c:spPr>
        <c:marker>
          <c:symbol val="none"/>
        </c:marker>
      </c:pivotFmt>
      <c:pivotFmt>
        <c:idx val="3"/>
        <c:spPr>
          <a:solidFill>
            <a:srgbClr val="FF3399"/>
          </a:solidFill>
        </c:spPr>
        <c:marker>
          <c:symbol val="none"/>
        </c:marker>
      </c:pivotFmt>
      <c:pivotFmt>
        <c:idx val="4"/>
        <c:spPr>
          <a:solidFill>
            <a:srgbClr val="FF0066"/>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5"/>
        <c:spPr>
          <a:solidFill>
            <a:srgbClr val="FF0066"/>
          </a:solidFill>
        </c:spPr>
        <c:marker>
          <c:symbol val="none"/>
        </c:marker>
        <c:dLbl>
          <c:idx val="0"/>
          <c:layout/>
          <c:spPr/>
          <c:txPr>
            <a:bodyPr/>
            <a:lstStyle/>
            <a:p>
              <a:pPr>
                <a:defRPr sz="1000"/>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'PVT. TABLE'!$B$26</c:f>
              <c:strCache>
                <c:ptCount val="1"/>
                <c:pt idx="0">
                  <c:v>Total</c:v>
                </c:pt>
              </c:strCache>
            </c:strRef>
          </c:tx>
          <c:spPr>
            <a:solidFill>
              <a:srgbClr val="FF0066"/>
            </a:solidFill>
          </c:spPr>
          <c:invertIfNegative val="0"/>
          <c:dLbls>
            <c:spPr/>
            <c:txPr>
              <a:bodyPr/>
              <a:lstStyle/>
              <a:p>
                <a:pPr>
                  <a:defRPr sz="1000"/>
                </a:pPr>
                <a:endParaRPr lang="en-US"/>
              </a:p>
            </c:txPr>
            <c:showLegendKey val="0"/>
            <c:showVal val="1"/>
            <c:showCatName val="0"/>
            <c:showSerName val="0"/>
            <c:showPercent val="0"/>
            <c:showBubbleSize val="0"/>
            <c:showLeaderLines val="0"/>
          </c:dLbls>
          <c:cat>
            <c:strRef>
              <c:f>'PVT. TABLE'!$A$27:$A$35</c:f>
              <c:strCache>
                <c:ptCount val="8"/>
                <c:pt idx="0">
                  <c:v>Ajay</c:v>
                </c:pt>
                <c:pt idx="1">
                  <c:v>Amit</c:v>
                </c:pt>
                <c:pt idx="2">
                  <c:v>Karan</c:v>
                </c:pt>
                <c:pt idx="3">
                  <c:v>Neha</c:v>
                </c:pt>
                <c:pt idx="4">
                  <c:v>Pooja</c:v>
                </c:pt>
                <c:pt idx="5">
                  <c:v>Ravi</c:v>
                </c:pt>
                <c:pt idx="6">
                  <c:v>Simran</c:v>
                </c:pt>
                <c:pt idx="7">
                  <c:v>Vikas</c:v>
                </c:pt>
              </c:strCache>
            </c:strRef>
          </c:cat>
          <c:val>
            <c:numRef>
              <c:f>'PVT. TABLE'!$B$27:$B$35</c:f>
              <c:numCache>
                <c:formatCode>General</c:formatCode>
                <c:ptCount val="8"/>
                <c:pt idx="0">
                  <c:v>368009</c:v>
                </c:pt>
                <c:pt idx="1">
                  <c:v>215668</c:v>
                </c:pt>
                <c:pt idx="2">
                  <c:v>478861</c:v>
                </c:pt>
                <c:pt idx="3">
                  <c:v>362168</c:v>
                </c:pt>
                <c:pt idx="4">
                  <c:v>232116</c:v>
                </c:pt>
                <c:pt idx="5">
                  <c:v>567629</c:v>
                </c:pt>
                <c:pt idx="6">
                  <c:v>704900</c:v>
                </c:pt>
                <c:pt idx="7">
                  <c:v>520099</c:v>
                </c:pt>
              </c:numCache>
            </c:numRef>
          </c:val>
        </c:ser>
        <c:dLbls>
          <c:showLegendKey val="0"/>
          <c:showVal val="0"/>
          <c:showCatName val="0"/>
          <c:showSerName val="0"/>
          <c:showPercent val="0"/>
          <c:showBubbleSize val="0"/>
        </c:dLbls>
        <c:gapWidth val="150"/>
        <c:axId val="192488960"/>
        <c:axId val="192490496"/>
      </c:barChart>
      <c:catAx>
        <c:axId val="192488960"/>
        <c:scaling>
          <c:orientation val="minMax"/>
        </c:scaling>
        <c:delete val="0"/>
        <c:axPos val="b"/>
        <c:majorTickMark val="out"/>
        <c:minorTickMark val="none"/>
        <c:tickLblPos val="nextTo"/>
        <c:crossAx val="192490496"/>
        <c:crosses val="autoZero"/>
        <c:auto val="1"/>
        <c:lblAlgn val="ctr"/>
        <c:lblOffset val="100"/>
        <c:noMultiLvlLbl val="0"/>
      </c:catAx>
      <c:valAx>
        <c:axId val="192490496"/>
        <c:scaling>
          <c:orientation val="minMax"/>
        </c:scaling>
        <c:delete val="0"/>
        <c:axPos val="l"/>
        <c:numFmt formatCode="General" sourceLinked="1"/>
        <c:majorTickMark val="out"/>
        <c:minorTickMark val="none"/>
        <c:tickLblPos val="nextTo"/>
        <c:txPr>
          <a:bodyPr/>
          <a:lstStyle/>
          <a:p>
            <a:pPr>
              <a:defRPr sz="1000"/>
            </a:pPr>
            <a:endParaRPr lang="en-US"/>
          </a:p>
        </c:txPr>
        <c:crossAx val="192488960"/>
        <c:crosses val="autoZero"/>
        <c:crossBetween val="between"/>
      </c:valAx>
    </c:plotArea>
    <c:plotVisOnly val="1"/>
    <c:dispBlanksAs val="gap"/>
    <c:showDLblsOverMax val="0"/>
  </c:chart>
  <c:spPr>
    <a:solidFill>
      <a:schemeClr val="bg1"/>
    </a:solidFill>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[Sales_Performance_Dashboard.xlsx]PVT. TABLE!PivotTable2</c:name>
    <c:fmtId val="24"/>
  </c:pivotSource>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ysClr val="windowText" lastClr="000000"/>
                </a:solidFill>
                <a:latin typeface="Arial" pitchFamily="34" charset="0"/>
                <a:ea typeface="+mn-ea"/>
                <a:cs typeface="Arial" pitchFamily="34" charset="0"/>
              </a:defRPr>
            </a:pPr>
            <a:r>
              <a:rPr lang="en-US" sz="1200" b="0" i="0" baseline="0">
                <a:effectLst/>
              </a:rPr>
              <a:t>TOP 3 Salesperson</a:t>
            </a:r>
            <a:endParaRPr lang="en-US" sz="1200" b="0">
              <a:latin typeface="Arial" pitchFamily="34" charset="0"/>
              <a:cs typeface="Arial" pitchFamily="34" charset="0"/>
            </a:endParaRPr>
          </a:p>
        </c:rich>
      </c:tx>
      <c:layout/>
      <c:overlay val="0"/>
    </c:title>
    <c:autoTitleDeleted val="0"/>
    <c:pivotFmts>
      <c:pivotFmt>
        <c:idx val="0"/>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1"/>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2"/>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3"/>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4"/>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5"/>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6"/>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7"/>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8"/>
        <c:spPr>
          <a:solidFill>
            <a:srgbClr val="FF0066"/>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9"/>
        <c:spPr>
          <a:solidFill>
            <a:srgbClr val="FF0066"/>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'PVT. TABLE'!$I$29</c:f>
              <c:strCache>
                <c:ptCount val="1"/>
                <c:pt idx="0">
                  <c:v>Total</c:v>
                </c:pt>
              </c:strCache>
            </c:strRef>
          </c:tx>
          <c:spPr>
            <a:solidFill>
              <a:srgbClr val="FF0066"/>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'PVT. TABLE'!$H$30:$H$33</c:f>
              <c:strCache>
                <c:ptCount val="3"/>
                <c:pt idx="0">
                  <c:v>Ravi</c:v>
                </c:pt>
                <c:pt idx="1">
                  <c:v>Simran</c:v>
                </c:pt>
                <c:pt idx="2">
                  <c:v>Vikas</c:v>
                </c:pt>
              </c:strCache>
            </c:strRef>
          </c:cat>
          <c:val>
            <c:numRef>
              <c:f>'PVT. TABLE'!$I$30:$I$33</c:f>
              <c:numCache>
                <c:formatCode>General</c:formatCode>
                <c:ptCount val="3"/>
                <c:pt idx="0">
                  <c:v>567629</c:v>
                </c:pt>
                <c:pt idx="1">
                  <c:v>704900</c:v>
                </c:pt>
                <c:pt idx="2">
                  <c:v>520099</c:v>
                </c:pt>
              </c:numCache>
            </c:numRef>
          </c:val>
        </c:ser>
        <c:dLbls>
          <c:showLegendKey val="0"/>
          <c:showVal val="0"/>
          <c:showCatName val="0"/>
          <c:showSerName val="0"/>
          <c:showPercent val="0"/>
          <c:showBubbleSize val="0"/>
        </c:dLbls>
        <c:gapWidth val="150"/>
        <c:axId val="192879616"/>
        <c:axId val="192889600"/>
      </c:barChart>
      <c:catAx>
        <c:axId val="192879616"/>
        <c:scaling>
          <c:orientation val="minMax"/>
        </c:scaling>
        <c:delete val="0"/>
        <c:axPos val="b"/>
        <c:majorTickMark val="out"/>
        <c:minorTickMark val="none"/>
        <c:tickLblPos val="nextTo"/>
        <c:crossAx val="192889600"/>
        <c:crosses val="autoZero"/>
        <c:auto val="1"/>
        <c:lblAlgn val="ctr"/>
        <c:lblOffset val="100"/>
        <c:noMultiLvlLbl val="0"/>
      </c:catAx>
      <c:valAx>
        <c:axId val="192889600"/>
        <c:scaling>
          <c:orientation val="minMax"/>
        </c:scaling>
        <c:delete val="0"/>
        <c:axPos val="l"/>
        <c:numFmt formatCode="General" sourceLinked="1"/>
        <c:majorTickMark val="out"/>
        <c:minorTickMark val="none"/>
        <c:tickLblPos val="nextTo"/>
        <c:crossAx val="192879616"/>
        <c:crosses val="autoZero"/>
        <c:crossBetween val="between"/>
      </c:valAx>
    </c:plotArea>
    <c:plotVisOnly val="1"/>
    <c:dispBlanksAs val="gap"/>
    <c:showDLblsOverMax val="0"/>
  </c:chart>
  <c:spPr>
    <a:solidFill>
      <a:schemeClr val="bg1"/>
    </a:solidFill>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[Sales_Performance_Dashboard.xlsx]PVT. TABLE!PivotTable4</c:name>
    <c:fmtId val="24"/>
  </c:pivotSource>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ysClr val="windowText" lastClr="000000"/>
                </a:solidFill>
                <a:latin typeface="Arial" pitchFamily="34" charset="0"/>
                <a:ea typeface="+mn-ea"/>
                <a:cs typeface="Arial" pitchFamily="34" charset="0"/>
              </a:defRPr>
            </a:pPr>
            <a:r>
              <a:rPr lang="en-US" sz="1200" b="0" i="0" baseline="0">
                <a:effectLst/>
              </a:rPr>
              <a:t>BOTTOM 3 Salesperson</a:t>
            </a:r>
            <a:endParaRPr lang="en-US" sz="1200" b="0">
              <a:effectLst/>
            </a:endParaRPr>
          </a:p>
          <a:p>
            <a:pPr marL="0" marR="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ysClr val="windowText" lastClr="000000"/>
                </a:solidFill>
                <a:latin typeface="Arial" pitchFamily="34" charset="0"/>
                <a:ea typeface="+mn-ea"/>
                <a:cs typeface="Arial" pitchFamily="34" charset="0"/>
              </a:defRPr>
            </a:pPr>
            <a:endParaRPr lang="en-US" sz="1200" b="0">
              <a:latin typeface="Arial" pitchFamily="34" charset="0"/>
              <a:cs typeface="Arial" pitchFamily="34" charset="0"/>
            </a:endParaRPr>
          </a:p>
        </c:rich>
      </c:tx>
      <c:layout/>
      <c:overlay val="0"/>
    </c:title>
    <c:autoTitleDeleted val="0"/>
    <c:pivotFmts>
      <c:pivotFmt>
        <c:idx val="0"/>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1"/>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2"/>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3"/>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4"/>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5"/>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6"/>
        <c:spPr>
          <a:solidFill>
            <a:srgbClr val="FF3399"/>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7"/>
        <c:spPr>
          <a:solidFill>
            <a:srgbClr val="FF0066"/>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8"/>
        <c:spPr>
          <a:solidFill>
            <a:srgbClr val="FF0066"/>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'PVT. TABLE'!$P$29</c:f>
              <c:strCache>
                <c:ptCount val="1"/>
                <c:pt idx="0">
                  <c:v>Total</c:v>
                </c:pt>
              </c:strCache>
            </c:strRef>
          </c:tx>
          <c:spPr>
            <a:solidFill>
              <a:srgbClr val="FF0066"/>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'PVT. TABLE'!$O$30:$O$33</c:f>
              <c:strCache>
                <c:ptCount val="3"/>
                <c:pt idx="0">
                  <c:v>Amit</c:v>
                </c:pt>
                <c:pt idx="1">
                  <c:v>Neha</c:v>
                </c:pt>
                <c:pt idx="2">
                  <c:v>Pooja</c:v>
                </c:pt>
              </c:strCache>
            </c:strRef>
          </c:cat>
          <c:val>
            <c:numRef>
              <c:f>'PVT. TABLE'!$P$30:$P$33</c:f>
              <c:numCache>
                <c:formatCode>General</c:formatCode>
                <c:ptCount val="3"/>
                <c:pt idx="0">
                  <c:v>215668</c:v>
                </c:pt>
                <c:pt idx="1">
                  <c:v>362168</c:v>
                </c:pt>
                <c:pt idx="2">
                  <c:v>232116</c:v>
                </c:pt>
              </c:numCache>
            </c:numRef>
          </c:val>
        </c:ser>
        <c:dLbls>
          <c:showLegendKey val="0"/>
          <c:showVal val="0"/>
          <c:showCatName val="0"/>
          <c:showSerName val="0"/>
          <c:showPercent val="0"/>
          <c:showBubbleSize val="0"/>
        </c:dLbls>
        <c:gapWidth val="150"/>
        <c:axId val="192950272"/>
        <c:axId val="192951808"/>
      </c:barChart>
      <c:catAx>
        <c:axId val="192950272"/>
        <c:scaling>
          <c:orientation val="minMax"/>
        </c:scaling>
        <c:delete val="0"/>
        <c:axPos val="b"/>
        <c:majorTickMark val="out"/>
        <c:minorTickMark val="none"/>
        <c:tickLblPos val="nextTo"/>
        <c:crossAx val="192951808"/>
        <c:crosses val="autoZero"/>
        <c:auto val="1"/>
        <c:lblAlgn val="ctr"/>
        <c:lblOffset val="100"/>
        <c:noMultiLvlLbl val="0"/>
      </c:catAx>
      <c:valAx>
        <c:axId val="192951808"/>
        <c:scaling>
          <c:orientation val="minMax"/>
        </c:scaling>
        <c:delete val="0"/>
        <c:axPos val="l"/>
        <c:numFmt formatCode="General" sourceLinked="1"/>
        <c:majorTickMark val="out"/>
        <c:minorTickMark val="none"/>
        <c:tickLblPos val="nextTo"/>
        <c:crossAx val="192950272"/>
        <c:crosses val="autoZero"/>
        <c:crossBetween val="between"/>
      </c:valAx>
    </c:plotArea>
    <c:plotVisOnly val="1"/>
    <c:dispBlanksAs val="gap"/>
    <c:showDLblsOverMax val="0"/>
  </c:chart>
  <c:spPr>
    <a:solidFill>
      <a:schemeClr val="bg1"/>
    </a:solidFill>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microsoft.com/office/2007/relationships/hdphoto" Target="../media/hdphoto3.wdp"/><Relationship Id="rId3" Type="http://schemas.openxmlformats.org/officeDocument/2006/relationships/hyperlink" Target="#SALESPERSON!A1"/><Relationship Id="rId7" Type="http://schemas.openxmlformats.org/officeDocument/2006/relationships/chart" Target="../charts/chart3.xml"/><Relationship Id="rId12" Type="http://schemas.openxmlformats.org/officeDocument/2006/relationships/image" Target="../media/image3.png"/><Relationship Id="rId2" Type="http://schemas.openxmlformats.org/officeDocument/2006/relationships/hyperlink" Target="#PRODUCT!A1"/><Relationship Id="rId1" Type="http://schemas.openxmlformats.org/officeDocument/2006/relationships/hyperlink" Target="#DASHBOARD!A1"/><Relationship Id="rId6" Type="http://schemas.openxmlformats.org/officeDocument/2006/relationships/chart" Target="../charts/chart2.xml"/><Relationship Id="rId11" Type="http://schemas.microsoft.com/office/2007/relationships/hdphoto" Target="../media/hdphoto2.wdp"/><Relationship Id="rId5" Type="http://schemas.openxmlformats.org/officeDocument/2006/relationships/chart" Target="../charts/chart1.xml"/><Relationship Id="rId10" Type="http://schemas.openxmlformats.org/officeDocument/2006/relationships/image" Target="../media/image2.png"/><Relationship Id="rId4" Type="http://schemas.openxmlformats.org/officeDocument/2006/relationships/hyperlink" Target="#CONCLUSION!A1"/><Relationship Id="rId9" Type="http://schemas.microsoft.com/office/2007/relationships/hdphoto" Target="../media/hdphoto1.wdp"/></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SALESPERSON!A1"/><Relationship Id="rId7" Type="http://schemas.openxmlformats.org/officeDocument/2006/relationships/chart" Target="../charts/chart4.xml"/><Relationship Id="rId2" Type="http://schemas.openxmlformats.org/officeDocument/2006/relationships/hyperlink" Target="#PRODUCT!A1"/><Relationship Id="rId1" Type="http://schemas.openxmlformats.org/officeDocument/2006/relationships/hyperlink" Target="#DASHBOARD!A1"/><Relationship Id="rId6" Type="http://schemas.microsoft.com/office/2007/relationships/hdphoto" Target="../media/hdphoto4.wdp"/><Relationship Id="rId5" Type="http://schemas.openxmlformats.org/officeDocument/2006/relationships/image" Target="../media/image4.png"/><Relationship Id="rId4" Type="http://schemas.openxmlformats.org/officeDocument/2006/relationships/hyperlink" Target="#CONCLUSION!A1"/><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microsoft.com/office/2007/relationships/hdphoto" Target="../media/hdphoto4.wdp"/><Relationship Id="rId3" Type="http://schemas.openxmlformats.org/officeDocument/2006/relationships/hyperlink" Target="#SALESPERSON!A1"/><Relationship Id="rId7" Type="http://schemas.openxmlformats.org/officeDocument/2006/relationships/image" Target="../media/image4.png"/><Relationship Id="rId2" Type="http://schemas.openxmlformats.org/officeDocument/2006/relationships/hyperlink" Target="#PRODUCT!A1"/><Relationship Id="rId1" Type="http://schemas.openxmlformats.org/officeDocument/2006/relationships/hyperlink" Target="#DASHBOARD!A1"/><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hyperlink" Target="#CONCLUSION!A1"/><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hyperlink" Target="#SALESPERSON!A1"/><Relationship Id="rId2" Type="http://schemas.openxmlformats.org/officeDocument/2006/relationships/hyperlink" Target="#PRODUCT!A1"/><Relationship Id="rId1" Type="http://schemas.openxmlformats.org/officeDocument/2006/relationships/hyperlink" Target="#DASHBOARD!A1"/><Relationship Id="rId4" Type="http://schemas.openxmlformats.org/officeDocument/2006/relationships/hyperlink" Target="#CONCLUSION!A1"/></Relationships>
</file>

<file path=xl/drawings/drawing1.xml><?xml version="1.0" encoding="utf-8"?>
<xdr:wsDr xmlns:xdr="http://schemas.openxmlformats.org/drawingml/2006/spreadsheetDrawing" xmlns:a="http://schemas.openxmlformats.org/drawingml/2006/main">
  <xdr:twoCellAnchor>
    <xdr:from>
      <xdr:col>0</xdr:col>
      <xdr:colOff>19050</xdr:colOff>
      <xdr:row>3</xdr:row>
      <xdr:rowOff>40901</xdr:rowOff>
    </xdr:from>
    <xdr:to>
      <xdr:col>19</xdr:col>
      <xdr:colOff>533402</xdr:colOff>
      <xdr:row>28</xdr:row>
      <xdr:rowOff>69476</xdr:rowOff>
    </xdr:to>
    <xdr:grpSp>
      <xdr:nvGrpSpPr>
        <xdr:cNvPr id="3" name="Group 2"/>
        <xdr:cNvGrpSpPr/>
      </xdr:nvGrpSpPr>
      <xdr:grpSpPr>
        <a:xfrm>
          <a:off x="19050" y="612401"/>
          <a:ext cx="12011587" cy="4791075"/>
          <a:chOff x="19050" y="85725"/>
          <a:chExt cx="12096752" cy="4791075"/>
        </a:xfrm>
      </xdr:grpSpPr>
      <xdr:grpSp>
        <xdr:nvGrpSpPr>
          <xdr:cNvPr id="2" name="Group 1"/>
          <xdr:cNvGrpSpPr/>
        </xdr:nvGrpSpPr>
        <xdr:grpSpPr>
          <a:xfrm>
            <a:off x="19050" y="85725"/>
            <a:ext cx="12096752" cy="4791075"/>
            <a:chOff x="19050" y="85725"/>
            <a:chExt cx="12148663" cy="4847771"/>
          </a:xfrm>
        </xdr:grpSpPr>
        <xdr:grpSp>
          <xdr:nvGrpSpPr>
            <xdr:cNvPr id="24" name="Group 23"/>
            <xdr:cNvGrpSpPr/>
          </xdr:nvGrpSpPr>
          <xdr:grpSpPr>
            <a:xfrm>
              <a:off x="19050" y="85725"/>
              <a:ext cx="12148663" cy="4847771"/>
              <a:chOff x="200026" y="438150"/>
              <a:chExt cx="10279853" cy="4229100"/>
            </a:xfrm>
          </xdr:grpSpPr>
          <xdr:sp macro="" textlink="">
            <xdr:nvSpPr>
              <xdr:cNvPr id="25" name="Rounded Rectangle 24"/>
              <xdr:cNvSpPr/>
            </xdr:nvSpPr>
            <xdr:spPr>
              <a:xfrm>
                <a:off x="200026" y="438150"/>
                <a:ext cx="10279853" cy="4229100"/>
              </a:xfrm>
              <a:prstGeom prst="rect">
                <a:avLst/>
              </a:prstGeom>
              <a:solidFill>
                <a:srgbClr val="FF0066">
                  <a:alpha val="78039"/>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ounded Rectangle 3"/>
              <xdr:cNvSpPr/>
            </xdr:nvSpPr>
            <xdr:spPr>
              <a:xfrm>
                <a:off x="2019429" y="438151"/>
                <a:ext cx="8421202" cy="4219574"/>
              </a:xfrm>
              <a:custGeom>
                <a:avLst/>
                <a:gdLst>
                  <a:gd name="connsiteX0" fmla="*/ 0 w 9860810"/>
                  <a:gd name="connsiteY0" fmla="*/ 796730 h 4780283"/>
                  <a:gd name="connsiteX1" fmla="*/ 796730 w 9860810"/>
                  <a:gd name="connsiteY1" fmla="*/ 0 h 4780283"/>
                  <a:gd name="connsiteX2" fmla="*/ 9064080 w 9860810"/>
                  <a:gd name="connsiteY2" fmla="*/ 0 h 4780283"/>
                  <a:gd name="connsiteX3" fmla="*/ 9860810 w 9860810"/>
                  <a:gd name="connsiteY3" fmla="*/ 796730 h 4780283"/>
                  <a:gd name="connsiteX4" fmla="*/ 9860810 w 9860810"/>
                  <a:gd name="connsiteY4" fmla="*/ 3983553 h 4780283"/>
                  <a:gd name="connsiteX5" fmla="*/ 9064080 w 9860810"/>
                  <a:gd name="connsiteY5" fmla="*/ 4780283 h 4780283"/>
                  <a:gd name="connsiteX6" fmla="*/ 796730 w 9860810"/>
                  <a:gd name="connsiteY6" fmla="*/ 4780283 h 4780283"/>
                  <a:gd name="connsiteX7" fmla="*/ 0 w 9860810"/>
                  <a:gd name="connsiteY7" fmla="*/ 3983553 h 4780283"/>
                  <a:gd name="connsiteX8" fmla="*/ 0 w 9860810"/>
                  <a:gd name="connsiteY8" fmla="*/ 796730 h 4780283"/>
                  <a:gd name="connsiteX0" fmla="*/ 0 w 9862241"/>
                  <a:gd name="connsiteY0" fmla="*/ 796730 h 4780283"/>
                  <a:gd name="connsiteX1" fmla="*/ 796730 w 9862241"/>
                  <a:gd name="connsiteY1" fmla="*/ 0 h 4780283"/>
                  <a:gd name="connsiteX2" fmla="*/ 9467491 w 9862241"/>
                  <a:gd name="connsiteY2" fmla="*/ 0 h 4780283"/>
                  <a:gd name="connsiteX3" fmla="*/ 9860810 w 9862241"/>
                  <a:gd name="connsiteY3" fmla="*/ 796730 h 4780283"/>
                  <a:gd name="connsiteX4" fmla="*/ 9860810 w 9862241"/>
                  <a:gd name="connsiteY4" fmla="*/ 3983553 h 4780283"/>
                  <a:gd name="connsiteX5" fmla="*/ 9064080 w 9862241"/>
                  <a:gd name="connsiteY5" fmla="*/ 4780283 h 4780283"/>
                  <a:gd name="connsiteX6" fmla="*/ 796730 w 9862241"/>
                  <a:gd name="connsiteY6" fmla="*/ 4780283 h 4780283"/>
                  <a:gd name="connsiteX7" fmla="*/ 0 w 9862241"/>
                  <a:gd name="connsiteY7" fmla="*/ 3983553 h 4780283"/>
                  <a:gd name="connsiteX8" fmla="*/ 0 w 9862241"/>
                  <a:gd name="connsiteY8" fmla="*/ 796730 h 4780283"/>
                  <a:gd name="connsiteX0" fmla="*/ 0 w 9862241"/>
                  <a:gd name="connsiteY0" fmla="*/ 796730 h 4780283"/>
                  <a:gd name="connsiteX1" fmla="*/ 796730 w 9862241"/>
                  <a:gd name="connsiteY1" fmla="*/ 0 h 4780283"/>
                  <a:gd name="connsiteX2" fmla="*/ 9467491 w 9862241"/>
                  <a:gd name="connsiteY2" fmla="*/ 0 h 4780283"/>
                  <a:gd name="connsiteX3" fmla="*/ 9860810 w 9862241"/>
                  <a:gd name="connsiteY3" fmla="*/ 796730 h 4780283"/>
                  <a:gd name="connsiteX4" fmla="*/ 9860810 w 9862241"/>
                  <a:gd name="connsiteY4" fmla="*/ 4319730 h 4780283"/>
                  <a:gd name="connsiteX5" fmla="*/ 9064080 w 9862241"/>
                  <a:gd name="connsiteY5" fmla="*/ 4780283 h 4780283"/>
                  <a:gd name="connsiteX6" fmla="*/ 796730 w 9862241"/>
                  <a:gd name="connsiteY6" fmla="*/ 4780283 h 4780283"/>
                  <a:gd name="connsiteX7" fmla="*/ 0 w 9862241"/>
                  <a:gd name="connsiteY7" fmla="*/ 3983553 h 4780283"/>
                  <a:gd name="connsiteX8" fmla="*/ 0 w 9862241"/>
                  <a:gd name="connsiteY8" fmla="*/ 796730 h 4780283"/>
                  <a:gd name="connsiteX0" fmla="*/ 22412 w 9862241"/>
                  <a:gd name="connsiteY0" fmla="*/ 482965 h 4780283"/>
                  <a:gd name="connsiteX1" fmla="*/ 796730 w 9862241"/>
                  <a:gd name="connsiteY1" fmla="*/ 0 h 4780283"/>
                  <a:gd name="connsiteX2" fmla="*/ 9467491 w 9862241"/>
                  <a:gd name="connsiteY2" fmla="*/ 0 h 4780283"/>
                  <a:gd name="connsiteX3" fmla="*/ 9860810 w 9862241"/>
                  <a:gd name="connsiteY3" fmla="*/ 796730 h 4780283"/>
                  <a:gd name="connsiteX4" fmla="*/ 9860810 w 9862241"/>
                  <a:gd name="connsiteY4" fmla="*/ 4319730 h 4780283"/>
                  <a:gd name="connsiteX5" fmla="*/ 9064080 w 9862241"/>
                  <a:gd name="connsiteY5" fmla="*/ 4780283 h 4780283"/>
                  <a:gd name="connsiteX6" fmla="*/ 796730 w 9862241"/>
                  <a:gd name="connsiteY6" fmla="*/ 4780283 h 4780283"/>
                  <a:gd name="connsiteX7" fmla="*/ 0 w 9862241"/>
                  <a:gd name="connsiteY7" fmla="*/ 3983553 h 4780283"/>
                  <a:gd name="connsiteX8" fmla="*/ 22412 w 9862241"/>
                  <a:gd name="connsiteY8" fmla="*/ 482965 h 4780283"/>
                  <a:gd name="connsiteX0" fmla="*/ 0 w 9839829"/>
                  <a:gd name="connsiteY0" fmla="*/ 482965 h 4780283"/>
                  <a:gd name="connsiteX1" fmla="*/ 774318 w 9839829"/>
                  <a:gd name="connsiteY1" fmla="*/ 0 h 4780283"/>
                  <a:gd name="connsiteX2" fmla="*/ 9445079 w 9839829"/>
                  <a:gd name="connsiteY2" fmla="*/ 0 h 4780283"/>
                  <a:gd name="connsiteX3" fmla="*/ 9838398 w 9839829"/>
                  <a:gd name="connsiteY3" fmla="*/ 796730 h 4780283"/>
                  <a:gd name="connsiteX4" fmla="*/ 9838398 w 9839829"/>
                  <a:gd name="connsiteY4" fmla="*/ 4319730 h 4780283"/>
                  <a:gd name="connsiteX5" fmla="*/ 9041668 w 9839829"/>
                  <a:gd name="connsiteY5" fmla="*/ 4780283 h 4780283"/>
                  <a:gd name="connsiteX6" fmla="*/ 774318 w 9839829"/>
                  <a:gd name="connsiteY6" fmla="*/ 4780283 h 4780283"/>
                  <a:gd name="connsiteX7" fmla="*/ 22411 w 9839829"/>
                  <a:gd name="connsiteY7" fmla="*/ 4330936 h 4780283"/>
                  <a:gd name="connsiteX8" fmla="*/ 0 w 9839829"/>
                  <a:gd name="connsiteY8" fmla="*/ 482965 h 47802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839829" h="4780283">
                    <a:moveTo>
                      <a:pt x="0" y="482965"/>
                    </a:moveTo>
                    <a:cubicBezTo>
                      <a:pt x="0" y="42943"/>
                      <a:pt x="334296" y="0"/>
                      <a:pt x="774318" y="0"/>
                    </a:cubicBezTo>
                    <a:lnTo>
                      <a:pt x="9445079" y="0"/>
                    </a:lnTo>
                    <a:cubicBezTo>
                      <a:pt x="9885101" y="0"/>
                      <a:pt x="9838398" y="356708"/>
                      <a:pt x="9838398" y="796730"/>
                    </a:cubicBezTo>
                    <a:lnTo>
                      <a:pt x="9838398" y="4319730"/>
                    </a:lnTo>
                    <a:cubicBezTo>
                      <a:pt x="9838398" y="4759752"/>
                      <a:pt x="9481690" y="4780283"/>
                      <a:pt x="9041668" y="4780283"/>
                    </a:cubicBezTo>
                    <a:lnTo>
                      <a:pt x="774318" y="4780283"/>
                    </a:lnTo>
                    <a:cubicBezTo>
                      <a:pt x="334296" y="4780283"/>
                      <a:pt x="22411" y="4770958"/>
                      <a:pt x="22411" y="4330936"/>
                    </a:cubicBezTo>
                    <a:lnTo>
                      <a:pt x="0" y="482965"/>
                    </a:lnTo>
                    <a:close/>
                  </a:path>
                </a:pathLst>
              </a:cu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ounded Rectangle 26">
                <a:hlinkClick xmlns:r="http://schemas.openxmlformats.org/officeDocument/2006/relationships" r:id="rId1"/>
              </xdr:cNvPr>
              <xdr:cNvSpPr/>
            </xdr:nvSpPr>
            <xdr:spPr>
              <a:xfrm>
                <a:off x="628650" y="1066800"/>
                <a:ext cx="1147293" cy="437291"/>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FF0066"/>
                    </a:solidFill>
                    <a:latin typeface="Arial Black" pitchFamily="34" charset="0"/>
                  </a:rPr>
                  <a:t>DASHBOARD</a:t>
                </a:r>
                <a:endParaRPr lang="en-US" sz="900" b="1">
                  <a:solidFill>
                    <a:srgbClr val="FF0066"/>
                  </a:solidFill>
                  <a:latin typeface="Arial Black" pitchFamily="34" charset="0"/>
                </a:endParaRPr>
              </a:p>
            </xdr:txBody>
          </xdr:sp>
          <xdr:sp macro="" textlink="">
            <xdr:nvSpPr>
              <xdr:cNvPr id="28" name="Rounded Rectangle 27">
                <a:hlinkClick xmlns:r="http://schemas.openxmlformats.org/officeDocument/2006/relationships" r:id="rId2"/>
              </xdr:cNvPr>
              <xdr:cNvSpPr/>
            </xdr:nvSpPr>
            <xdr:spPr>
              <a:xfrm>
                <a:off x="600075" y="1847848"/>
                <a:ext cx="1144459" cy="440936"/>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latin typeface="Arial Black" pitchFamily="34" charset="0"/>
                    <a:ea typeface="+mn-ea"/>
                    <a:cs typeface="+mn-cs"/>
                  </a:rPr>
                  <a:t>PRODUCT</a:t>
                </a:r>
                <a:endParaRPr lang="en-US" sz="900" b="1">
                  <a:solidFill>
                    <a:schemeClr val="tx1"/>
                  </a:solidFill>
                  <a:latin typeface="Arial Black" pitchFamily="34" charset="0"/>
                  <a:ea typeface="+mn-ea"/>
                  <a:cs typeface="+mn-cs"/>
                </a:endParaRPr>
              </a:p>
            </xdr:txBody>
          </xdr:sp>
          <xdr:sp macro="" textlink="">
            <xdr:nvSpPr>
              <xdr:cNvPr id="29" name="Rounded Rectangle 28">
                <a:hlinkClick xmlns:r="http://schemas.openxmlformats.org/officeDocument/2006/relationships" r:id="rId3"/>
              </xdr:cNvPr>
              <xdr:cNvSpPr/>
            </xdr:nvSpPr>
            <xdr:spPr>
              <a:xfrm>
                <a:off x="581025" y="2609850"/>
                <a:ext cx="1144459" cy="436822"/>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latin typeface="Arial Black" pitchFamily="34" charset="0"/>
                    <a:ea typeface="+mn-ea"/>
                    <a:cs typeface="+mn-cs"/>
                  </a:rPr>
                  <a:t>SALESPERSON</a:t>
                </a:r>
                <a:endParaRPr lang="en-US" sz="900" b="1">
                  <a:solidFill>
                    <a:schemeClr val="tx1"/>
                  </a:solidFill>
                  <a:latin typeface="Arial Black" pitchFamily="34" charset="0"/>
                  <a:ea typeface="+mn-ea"/>
                  <a:cs typeface="+mn-cs"/>
                </a:endParaRPr>
              </a:p>
            </xdr:txBody>
          </xdr:sp>
          <xdr:sp macro="" textlink="">
            <xdr:nvSpPr>
              <xdr:cNvPr id="30" name="Rounded Rectangle 29">
                <a:hlinkClick xmlns:r="http://schemas.openxmlformats.org/officeDocument/2006/relationships" r:id="rId4"/>
              </xdr:cNvPr>
              <xdr:cNvSpPr/>
            </xdr:nvSpPr>
            <xdr:spPr>
              <a:xfrm>
                <a:off x="590550" y="3448048"/>
                <a:ext cx="1144459" cy="440936"/>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Black" pitchFamily="34" charset="0"/>
                    <a:ea typeface="+mn-ea"/>
                    <a:cs typeface="+mn-cs"/>
                  </a:rPr>
                  <a:t>CONCLUSION</a:t>
                </a:r>
                <a:endParaRPr lang="en-US" sz="900" b="1">
                  <a:solidFill>
                    <a:schemeClr val="tx1"/>
                  </a:solidFill>
                  <a:latin typeface="Arial Black" pitchFamily="34" charset="0"/>
                  <a:ea typeface="+mn-ea"/>
                  <a:cs typeface="+mn-cs"/>
                </a:endParaRPr>
              </a:p>
            </xdr:txBody>
          </xdr:sp>
          <mc:AlternateContent xmlns:mc="http://schemas.openxmlformats.org/markup-compatibility/2006" xmlns:a14="http://schemas.microsoft.com/office/drawing/2010/main">
            <mc:Choice Requires="a14">
              <xdr:graphicFrame macro="">
                <xdr:nvGraphicFramePr>
                  <xdr:cNvPr id="33" name="Product 6"/>
                  <xdr:cNvGraphicFramePr/>
                </xdr:nvGraphicFramePr>
                <xdr:xfrm>
                  <a:off x="2170067" y="1483081"/>
                  <a:ext cx="8131431" cy="636620"/>
                </xdr:xfrm>
                <a:graphic>
                  <a:graphicData uri="http://schemas.microsoft.com/office/drawing/2010/slicer">
                    <sle:slicer xmlns:sle="http://schemas.microsoft.com/office/drawing/2010/slicer" name="Product 6"/>
                  </a:graphicData>
                </a:graphic>
              </xdr:graphicFrame>
            </mc:Choice>
            <mc:Fallback xmlns="">
              <xdr:sp macro="" textlink="">
                <xdr:nvSpPr>
                  <xdr:cNvPr id="0" name=""/>
                  <xdr:cNvSpPr>
                    <a:spLocks noTextEdit="1"/>
                  </xdr:cNvSpPr>
                </xdr:nvSpPr>
                <xdr:spPr>
                  <a:xfrm>
                    <a:off x="2320962" y="1796185"/>
                    <a:ext cx="9501244" cy="72121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grpSp>
        <xdr:graphicFrame macro="">
          <xdr:nvGraphicFramePr>
            <xdr:cNvPr id="34" name="Chart 33"/>
            <xdr:cNvGraphicFramePr>
              <a:graphicFrameLocks/>
            </xdr:cNvGraphicFramePr>
          </xdr:nvGraphicFramePr>
          <xdr:xfrm>
            <a:off x="2341790" y="2810931"/>
            <a:ext cx="3193582" cy="199557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5" name="Chart 34"/>
            <xdr:cNvGraphicFramePr>
              <a:graphicFrameLocks/>
            </xdr:cNvGraphicFramePr>
          </xdr:nvGraphicFramePr>
          <xdr:xfrm>
            <a:off x="5663293" y="2822575"/>
            <a:ext cx="2814145" cy="194991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4" name="Chart 13"/>
            <xdr:cNvGraphicFramePr>
              <a:graphicFrameLocks/>
            </xdr:cNvGraphicFramePr>
          </xdr:nvGraphicFramePr>
          <xdr:xfrm>
            <a:off x="8568107" y="2803524"/>
            <a:ext cx="3400129" cy="1980303"/>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16" name="Group 15"/>
          <xdr:cNvGrpSpPr/>
        </xdr:nvGrpSpPr>
        <xdr:grpSpPr>
          <a:xfrm>
            <a:off x="2358117" y="2214308"/>
            <a:ext cx="1913164" cy="458626"/>
            <a:chOff x="2371725" y="2125205"/>
            <a:chExt cx="1924050" cy="463162"/>
          </a:xfrm>
        </xdr:grpSpPr>
        <xdr:sp macro="" textlink="">
          <xdr:nvSpPr>
            <xdr:cNvPr id="17" name="Rounded Rectangle 16"/>
            <xdr:cNvSpPr/>
          </xdr:nvSpPr>
          <xdr:spPr>
            <a:xfrm>
              <a:off x="2847975" y="2229980"/>
              <a:ext cx="1447800" cy="358387"/>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400" b="1">
                  <a:solidFill>
                    <a:sysClr val="windowText" lastClr="000000"/>
                  </a:solidFill>
                  <a:latin typeface="Arial Black" pitchFamily="34" charset="0"/>
                </a:rPr>
                <a:t>ANALYTICS</a:t>
              </a:r>
              <a:endParaRPr lang="en-US" sz="1000" b="1">
                <a:solidFill>
                  <a:sysClr val="windowText" lastClr="000000"/>
                </a:solidFill>
                <a:latin typeface="Arial Black" pitchFamily="34" charset="0"/>
              </a:endParaRPr>
            </a:p>
          </xdr:txBody>
        </xdr:sp>
        <xdr:pic>
          <xdr:nvPicPr>
            <xdr:cNvPr id="18" name="Picture 17"/>
            <xdr:cNvPicPr>
              <a:picLocks noChangeAspect="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10000" r="90000">
                          <a14:foregroundMark x1="14080" y1="84375" x2="13506" y2="55966"/>
                          <a14:foregroundMark x1="13506" y1="55398" x2="26437" y2="55682"/>
                          <a14:foregroundMark x1="30460" y1="42614" x2="43391" y2="41761"/>
                          <a14:foregroundMark x1="63793" y1="34091" x2="75000" y2="33807"/>
                          <a14:foregroundMark x1="11494" y1="87500" x2="85345" y2="87500"/>
                          <a14:backgroundMark x1="14943" y1="5966" x2="87644" y2="4545"/>
                        </a14:backgroundRemoval>
                      </a14:imgEffect>
                    </a14:imgLayer>
                  </a14:imgProps>
                </a:ext>
                <a:ext uri="{28A0092B-C50C-407E-A947-70E740481C1C}">
                  <a14:useLocalDpi xmlns:a14="http://schemas.microsoft.com/office/drawing/2010/main" val="0"/>
                </a:ext>
              </a:extLst>
            </a:blip>
            <a:srcRect t="12950" r="16667"/>
            <a:stretch/>
          </xdr:blipFill>
          <xdr:spPr>
            <a:xfrm>
              <a:off x="2371725" y="2125205"/>
              <a:ext cx="523875" cy="428626"/>
            </a:xfrm>
            <a:prstGeom prst="rect">
              <a:avLst/>
            </a:prstGeom>
          </xdr:spPr>
        </xdr:pic>
      </xdr:grpSp>
    </xdr:grpSp>
    <xdr:clientData/>
  </xdr:twoCellAnchor>
  <xdr:twoCellAnchor editAs="oneCell">
    <xdr:from>
      <xdr:col>3</xdr:col>
      <xdr:colOff>523875</xdr:colOff>
      <xdr:row>4</xdr:row>
      <xdr:rowOff>0</xdr:rowOff>
    </xdr:from>
    <xdr:to>
      <xdr:col>14</xdr:col>
      <xdr:colOff>485775</xdr:colOff>
      <xdr:row>9</xdr:row>
      <xdr:rowOff>28575</xdr:rowOff>
    </xdr:to>
    <mc:AlternateContent xmlns:mc="http://schemas.openxmlformats.org/markup-compatibility/2006" xmlns:a14="http://schemas.microsoft.com/office/drawing/2010/main">
      <mc:Choice Requires="a14">
        <xdr:graphicFrame macro="">
          <xdr:nvGraphicFramePr>
            <xdr:cNvPr id="70"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352675" y="238125"/>
              <a:ext cx="66675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561973</xdr:colOff>
      <xdr:row>3</xdr:row>
      <xdr:rowOff>168088</xdr:rowOff>
    </xdr:from>
    <xdr:to>
      <xdr:col>19</xdr:col>
      <xdr:colOff>347382</xdr:colOff>
      <xdr:row>9</xdr:row>
      <xdr:rowOff>9525</xdr:rowOff>
    </xdr:to>
    <mc:AlternateContent xmlns:mc="http://schemas.openxmlformats.org/markup-compatibility/2006" xmlns:a14="http://schemas.microsoft.com/office/drawing/2010/main">
      <mc:Choice Requires="a14">
        <xdr:graphicFrame macro="">
          <xdr:nvGraphicFramePr>
            <xdr:cNvPr id="71" name="Region 8"/>
            <xdr:cNvGraphicFramePr/>
          </xdr:nvGraphicFramePr>
          <xdr:xfrm>
            <a:off x="0" y="0"/>
            <a:ext cx="0" cy="0"/>
          </xdr:xfrm>
          <a:graphic>
            <a:graphicData uri="http://schemas.microsoft.com/office/drawing/2010/slicer">
              <sle:slicer xmlns:sle="http://schemas.microsoft.com/office/drawing/2010/slicer" name="Region 8"/>
            </a:graphicData>
          </a:graphic>
        </xdr:graphicFrame>
      </mc:Choice>
      <mc:Fallback xmlns="">
        <xdr:sp macro="" textlink="">
          <xdr:nvSpPr>
            <xdr:cNvPr id="0" name=""/>
            <xdr:cNvSpPr>
              <a:spLocks noTextEdit="1"/>
            </xdr:cNvSpPr>
          </xdr:nvSpPr>
          <xdr:spPr>
            <a:xfrm>
              <a:off x="9096374" y="238125"/>
              <a:ext cx="2543176"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7</xdr:col>
      <xdr:colOff>561975</xdr:colOff>
      <xdr:row>13</xdr:row>
      <xdr:rowOff>115419</xdr:rowOff>
    </xdr:from>
    <xdr:to>
      <xdr:col>12</xdr:col>
      <xdr:colOff>246529</xdr:colOff>
      <xdr:row>17</xdr:row>
      <xdr:rowOff>10644</xdr:rowOff>
    </xdr:to>
    <xdr:grpSp>
      <xdr:nvGrpSpPr>
        <xdr:cNvPr id="8" name="Group 7"/>
        <xdr:cNvGrpSpPr/>
      </xdr:nvGrpSpPr>
      <xdr:grpSpPr>
        <a:xfrm>
          <a:off x="4797799" y="2591919"/>
          <a:ext cx="2710142" cy="657225"/>
          <a:chOff x="4829175" y="2076449"/>
          <a:chExt cx="2266950" cy="657225"/>
        </a:xfrm>
      </xdr:grpSpPr>
      <xdr:sp macro="" textlink="">
        <xdr:nvSpPr>
          <xdr:cNvPr id="31" name="Rectangle 30"/>
          <xdr:cNvSpPr/>
        </xdr:nvSpPr>
        <xdr:spPr>
          <a:xfrm>
            <a:off x="4829175" y="2076449"/>
            <a:ext cx="2266950" cy="657225"/>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 name="Group 6"/>
          <xdr:cNvGrpSpPr/>
        </xdr:nvGrpSpPr>
        <xdr:grpSpPr>
          <a:xfrm>
            <a:off x="5419724" y="2085975"/>
            <a:ext cx="1647825" cy="619125"/>
            <a:chOff x="4657725" y="2066925"/>
            <a:chExt cx="2057400" cy="619125"/>
          </a:xfrm>
        </xdr:grpSpPr>
        <xdr:sp macro="" textlink="">
          <xdr:nvSpPr>
            <xdr:cNvPr id="4" name="Rectangle 3"/>
            <xdr:cNvSpPr/>
          </xdr:nvSpPr>
          <xdr:spPr>
            <a:xfrm>
              <a:off x="4657725" y="2066925"/>
              <a:ext cx="2057400" cy="6191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800" b="1">
                  <a:solidFill>
                    <a:schemeClr val="tx1"/>
                  </a:solidFill>
                </a:rPr>
                <a:t>TOTAL</a:t>
              </a:r>
              <a:r>
                <a:rPr lang="en-US" sz="1800" b="1" baseline="0">
                  <a:solidFill>
                    <a:schemeClr val="tx1"/>
                  </a:solidFill>
                </a:rPr>
                <a:t> SALES</a:t>
              </a:r>
              <a:endParaRPr lang="en-US" sz="1800" b="1"/>
            </a:p>
          </xdr:txBody>
        </xdr:sp>
        <xdr:sp macro="" textlink="'PVT. TABLE'!$Y$7">
          <xdr:nvSpPr>
            <xdr:cNvPr id="21" name="Rectangle 20"/>
            <xdr:cNvSpPr/>
          </xdr:nvSpPr>
          <xdr:spPr>
            <a:xfrm>
              <a:off x="5581649" y="2362199"/>
              <a:ext cx="1114425" cy="3143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B950D45-9875-4A2E-B977-D45275D19A36}" type="TxLink">
                <a:rPr lang="en-US" sz="1800" b="1">
                  <a:solidFill>
                    <a:sysClr val="windowText" lastClr="000000"/>
                  </a:solidFill>
                </a:rPr>
                <a:pPr algn="l"/>
                <a:t>3449450</a:t>
              </a:fld>
              <a:endParaRPr lang="en-US" sz="1800" b="1">
                <a:solidFill>
                  <a:sysClr val="windowText" lastClr="000000"/>
                </a:solidFill>
              </a:endParaRPr>
            </a:p>
          </xdr:txBody>
        </xdr:sp>
      </xdr:grpSp>
    </xdr:grpSp>
    <xdr:clientData/>
  </xdr:twoCellAnchor>
  <xdr:twoCellAnchor>
    <xdr:from>
      <xdr:col>7</xdr:col>
      <xdr:colOff>584387</xdr:colOff>
      <xdr:row>13</xdr:row>
      <xdr:rowOff>86845</xdr:rowOff>
    </xdr:from>
    <xdr:to>
      <xdr:col>18</xdr:col>
      <xdr:colOff>346262</xdr:colOff>
      <xdr:row>17</xdr:row>
      <xdr:rowOff>10645</xdr:rowOff>
    </xdr:to>
    <xdr:grpSp>
      <xdr:nvGrpSpPr>
        <xdr:cNvPr id="11" name="Group 10"/>
        <xdr:cNvGrpSpPr/>
      </xdr:nvGrpSpPr>
      <xdr:grpSpPr>
        <a:xfrm>
          <a:off x="4820211" y="2563345"/>
          <a:ext cx="6418169" cy="685800"/>
          <a:chOff x="4829175" y="2047875"/>
          <a:chExt cx="6467475" cy="685800"/>
        </a:xfrm>
      </xdr:grpSpPr>
      <xdr:grpSp>
        <xdr:nvGrpSpPr>
          <xdr:cNvPr id="36" name="Group 35"/>
          <xdr:cNvGrpSpPr/>
        </xdr:nvGrpSpPr>
        <xdr:grpSpPr>
          <a:xfrm>
            <a:off x="8620124" y="2047875"/>
            <a:ext cx="2676526" cy="657225"/>
            <a:chOff x="4829175" y="2076449"/>
            <a:chExt cx="2266950" cy="657225"/>
          </a:xfrm>
        </xdr:grpSpPr>
        <xdr:sp macro="" textlink="">
          <xdr:nvSpPr>
            <xdr:cNvPr id="37" name="Rectangle 36"/>
            <xdr:cNvSpPr/>
          </xdr:nvSpPr>
          <xdr:spPr>
            <a:xfrm>
              <a:off x="4829175" y="2076449"/>
              <a:ext cx="2266950" cy="65722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8" name="Group 37"/>
            <xdr:cNvGrpSpPr/>
          </xdr:nvGrpSpPr>
          <xdr:grpSpPr>
            <a:xfrm>
              <a:off x="5419724" y="2085975"/>
              <a:ext cx="1647825" cy="619125"/>
              <a:chOff x="4657725" y="2066925"/>
              <a:chExt cx="2057400" cy="619125"/>
            </a:xfrm>
          </xdr:grpSpPr>
          <xdr:sp macro="" textlink="">
            <xdr:nvSpPr>
              <xdr:cNvPr id="39" name="Rectangle 38"/>
              <xdr:cNvSpPr/>
            </xdr:nvSpPr>
            <xdr:spPr>
              <a:xfrm>
                <a:off x="4657725" y="2066925"/>
                <a:ext cx="2057400" cy="6191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 UNITS SOLD</a:t>
                </a:r>
                <a:endParaRPr lang="en-US" sz="1600" b="1"/>
              </a:p>
            </xdr:txBody>
          </xdr:sp>
          <xdr:sp macro="" textlink="'PVT. TABLE'!$Y$12">
            <xdr:nvSpPr>
              <xdr:cNvPr id="40" name="Rectangle 39"/>
              <xdr:cNvSpPr/>
            </xdr:nvSpPr>
            <xdr:spPr>
              <a:xfrm>
                <a:off x="4863865" y="2371724"/>
                <a:ext cx="1617328" cy="3143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BA98A18-AAA0-4432-894E-1F106C088BB7}" type="TxLink">
                  <a:rPr lang="en-US" sz="2000" b="1">
                    <a:solidFill>
                      <a:sysClr val="windowText" lastClr="000000"/>
                    </a:solidFill>
                  </a:rPr>
                  <a:pPr algn="ctr"/>
                  <a:t>1634</a:t>
                </a:fld>
                <a:endParaRPr lang="en-US" sz="2000" b="1">
                  <a:solidFill>
                    <a:sysClr val="windowText" lastClr="000000"/>
                  </a:solidFill>
                </a:endParaRPr>
              </a:p>
            </xdr:txBody>
          </xdr:sp>
        </xdr:grpSp>
      </xdr:grpSp>
      <xdr:grpSp>
        <xdr:nvGrpSpPr>
          <xdr:cNvPr id="41" name="Group 40"/>
          <xdr:cNvGrpSpPr/>
        </xdr:nvGrpSpPr>
        <xdr:grpSpPr>
          <a:xfrm>
            <a:off x="4829175" y="2076449"/>
            <a:ext cx="2676526" cy="657225"/>
            <a:chOff x="4829175" y="2076449"/>
            <a:chExt cx="2266950" cy="657225"/>
          </a:xfrm>
        </xdr:grpSpPr>
        <xdr:sp macro="" textlink="">
          <xdr:nvSpPr>
            <xdr:cNvPr id="42" name="Rectangle 41"/>
            <xdr:cNvSpPr/>
          </xdr:nvSpPr>
          <xdr:spPr>
            <a:xfrm>
              <a:off x="4829175" y="2076449"/>
              <a:ext cx="2266950" cy="657225"/>
            </a:xfrm>
            <a:prstGeom prst="rect">
              <a:avLst/>
            </a:prstGeom>
            <a:solidFill>
              <a:srgbClr val="FF0066">
                <a:alpha val="74118"/>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3" name="Group 42"/>
            <xdr:cNvGrpSpPr/>
          </xdr:nvGrpSpPr>
          <xdr:grpSpPr>
            <a:xfrm>
              <a:off x="5419724" y="2085975"/>
              <a:ext cx="1647825" cy="619125"/>
              <a:chOff x="4657725" y="2066925"/>
              <a:chExt cx="2057400" cy="619125"/>
            </a:xfrm>
          </xdr:grpSpPr>
          <xdr:sp macro="" textlink="">
            <xdr:nvSpPr>
              <xdr:cNvPr id="44" name="Rectangle 43"/>
              <xdr:cNvSpPr/>
            </xdr:nvSpPr>
            <xdr:spPr>
              <a:xfrm>
                <a:off x="4657725" y="2066925"/>
                <a:ext cx="2057400" cy="6191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 SALES</a:t>
                </a:r>
                <a:endParaRPr lang="en-US" sz="1600" b="1"/>
              </a:p>
            </xdr:txBody>
          </xdr:sp>
          <xdr:sp macro="" textlink="'PVT. TABLE'!$Y$7">
            <xdr:nvSpPr>
              <xdr:cNvPr id="45" name="Rectangle 44"/>
              <xdr:cNvSpPr/>
            </xdr:nvSpPr>
            <xdr:spPr>
              <a:xfrm>
                <a:off x="4890725" y="2371724"/>
                <a:ext cx="1617328" cy="3143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65CD57C-048E-4BC3-90DD-A81AA45EC024}" type="TxLink">
                  <a:rPr lang="en-US" sz="2000" b="1">
                    <a:solidFill>
                      <a:sysClr val="windowText" lastClr="000000"/>
                    </a:solidFill>
                  </a:rPr>
                  <a:pPr algn="ctr"/>
                  <a:t>3449450</a:t>
                </a:fld>
                <a:endParaRPr lang="en-US" sz="2000" b="1">
                  <a:solidFill>
                    <a:sysClr val="windowText" lastClr="000000"/>
                  </a:solidFill>
                </a:endParaRPr>
              </a:p>
            </xdr:txBody>
          </xdr:sp>
        </xdr:grpSp>
      </xdr:grpSp>
      <xdr:pic>
        <xdr:nvPicPr>
          <xdr:cNvPr id="9" name="Picture 8"/>
          <xdr:cNvPicPr>
            <a:picLocks noChangeAspect="1"/>
          </xdr:cNvPicPr>
        </xdr:nvPicPr>
        <xdr:blipFill>
          <a:blip xmlns:r="http://schemas.openxmlformats.org/officeDocument/2006/relationships" r:embed="rId10">
            <a:extLst>
              <a:ext uri="{BEBA8EAE-BF5A-486C-A8C5-ECC9F3942E4B}">
                <a14:imgProps xmlns:a14="http://schemas.microsoft.com/office/drawing/2010/main">
                  <a14:imgLayer r:embed="rId11">
                    <a14:imgEffect>
                      <a14:backgroundRemoval t="10000" b="90000" l="10000" r="90000">
                        <a14:foregroundMark x1="38857" y1="28286" x2="52286" y2="28286"/>
                        <a14:foregroundMark x1="54571" y1="27143" x2="46571" y2="47429"/>
                        <a14:foregroundMark x1="43429" y1="58000" x2="43429" y2="58000"/>
                        <a14:foregroundMark x1="53429" y1="72286" x2="53429" y2="72286"/>
                        <a14:foregroundMark x1="53429" y1="30857" x2="53429" y2="30857"/>
                      </a14:backgroundRemoval>
                    </a14:imgEffect>
                  </a14:imgLayer>
                </a14:imgProps>
              </a:ext>
            </a:extLst>
          </a:blip>
          <a:stretch>
            <a:fillRect/>
          </a:stretch>
        </xdr:blipFill>
        <xdr:spPr>
          <a:xfrm>
            <a:off x="4848227" y="2095500"/>
            <a:ext cx="679386" cy="638175"/>
          </a:xfrm>
          <a:prstGeom prst="rect">
            <a:avLst/>
          </a:prstGeom>
        </xdr:spPr>
      </xdr:pic>
      <xdr:pic>
        <xdr:nvPicPr>
          <xdr:cNvPr id="10" name="Picture 9"/>
          <xdr:cNvPicPr>
            <a:picLocks noChangeAspect="1"/>
          </xdr:cNvPicPr>
        </xdr:nvPicPr>
        <xdr:blipFill>
          <a:blip xmlns:r="http://schemas.openxmlformats.org/officeDocument/2006/relationships" r:embed="rId12">
            <a:extLst>
              <a:ext uri="{BEBA8EAE-BF5A-486C-A8C5-ECC9F3942E4B}">
                <a14:imgProps xmlns:a14="http://schemas.microsoft.com/office/drawing/2010/main">
                  <a14:imgLayer r:embed="rId13">
                    <a14:imgEffect>
                      <a14:backgroundRemoval t="1351" b="98649" l="0" r="97906">
                        <a14:foregroundMark x1="6806" y1="49324" x2="88482" y2="47297"/>
                        <a14:backgroundMark x1="64921" y1="7432" x2="89005" y2="36486"/>
                        <a14:backgroundMark x1="63874" y1="5405" x2="87435" y2="5405"/>
                        <a14:backgroundMark x1="89005" y1="35811" x2="91623" y2="2027"/>
                        <a14:backgroundMark x1="6806" y1="33108" x2="36126" y2="12162"/>
                        <a14:backgroundMark x1="6283" y1="30405" x2="6283" y2="0"/>
                        <a14:backgroundMark x1="35079" y1="9459" x2="524" y2="7432"/>
                        <a14:backgroundMark x1="31937" y1="37838" x2="65445" y2="38514"/>
                        <a14:backgroundMark x1="33508" y1="36486" x2="57592" y2="31081"/>
                        <a14:backgroundMark x1="63351" y1="38514" x2="57068" y2="27703"/>
                      </a14:backgroundRemoval>
                    </a14:imgEffect>
                  </a14:imgLayer>
                </a14:imgProps>
              </a:ext>
            </a:extLst>
          </a:blip>
          <a:stretch>
            <a:fillRect/>
          </a:stretch>
        </xdr:blipFill>
        <xdr:spPr>
          <a:xfrm>
            <a:off x="8620125" y="2085975"/>
            <a:ext cx="666750" cy="571500"/>
          </a:xfrm>
          <a:prstGeom prst="rect">
            <a:avLst/>
          </a:prstGeom>
          <a:solidFill>
            <a:srgbClr val="FF0066"/>
          </a:solidFill>
        </xdr:spPr>
      </xdr:pic>
    </xdr:grpSp>
    <xdr:clientData/>
  </xdr:twoCellAnchor>
  <xdr:twoCellAnchor>
    <xdr:from>
      <xdr:col>0</xdr:col>
      <xdr:colOff>25400</xdr:colOff>
      <xdr:row>0</xdr:row>
      <xdr:rowOff>0</xdr:rowOff>
    </xdr:from>
    <xdr:to>
      <xdr:col>19</xdr:col>
      <xdr:colOff>520700</xdr:colOff>
      <xdr:row>3</xdr:row>
      <xdr:rowOff>12700</xdr:rowOff>
    </xdr:to>
    <xdr:sp macro="" textlink="">
      <xdr:nvSpPr>
        <xdr:cNvPr id="46" name="Rectangle 45"/>
        <xdr:cNvSpPr/>
      </xdr:nvSpPr>
      <xdr:spPr>
        <a:xfrm>
          <a:off x="25400" y="165100"/>
          <a:ext cx="12077700" cy="609600"/>
        </a:xfrm>
        <a:prstGeom prst="rect">
          <a:avLst/>
        </a:prstGeom>
        <a:solidFill>
          <a:srgbClr val="FF0066">
            <a:alpha val="78039"/>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3200">
              <a:solidFill>
                <a:schemeClr val="lt1"/>
              </a:solidFill>
              <a:latin typeface="Arial Black" pitchFamily="34" charset="0"/>
              <a:ea typeface="+mn-ea"/>
              <a:cs typeface="+mn-cs"/>
            </a:rPr>
            <a:t>Sales</a:t>
          </a:r>
          <a:r>
            <a:rPr lang="en-US" sz="3200"/>
            <a:t> </a:t>
          </a:r>
          <a:r>
            <a:rPr lang="en-US" sz="3200">
              <a:solidFill>
                <a:schemeClr val="lt1"/>
              </a:solidFill>
              <a:latin typeface="Arial Black" pitchFamily="34" charset="0"/>
              <a:ea typeface="+mn-ea"/>
              <a:cs typeface="+mn-cs"/>
            </a:rPr>
            <a:t>Performance</a:t>
          </a:r>
          <a:r>
            <a:rPr lang="en-US" sz="3200"/>
            <a:t> </a:t>
          </a:r>
          <a:r>
            <a:rPr lang="en-US" sz="3200">
              <a:solidFill>
                <a:schemeClr val="lt1"/>
              </a:solidFill>
              <a:latin typeface="Arial Black" pitchFamily="34" charset="0"/>
              <a:ea typeface="+mn-ea"/>
              <a:cs typeface="+mn-cs"/>
            </a:rPr>
            <a:t>Overview</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100852</xdr:rowOff>
    </xdr:from>
    <xdr:to>
      <xdr:col>19</xdr:col>
      <xdr:colOff>514352</xdr:colOff>
      <xdr:row>29</xdr:row>
      <xdr:rowOff>129427</xdr:rowOff>
    </xdr:to>
    <xdr:sp macro="" textlink="">
      <xdr:nvSpPr>
        <xdr:cNvPr id="3" name="Rectangle 2"/>
        <xdr:cNvSpPr/>
      </xdr:nvSpPr>
      <xdr:spPr>
        <a:xfrm>
          <a:off x="0" y="672352"/>
          <a:ext cx="12011587" cy="4981575"/>
        </a:xfrm>
        <a:prstGeom prst="rect">
          <a:avLst/>
        </a:prstGeom>
        <a:solidFill>
          <a:srgbClr val="FF0066">
            <a:alpha val="78039"/>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289600</xdr:colOff>
      <xdr:row>3</xdr:row>
      <xdr:rowOff>168089</xdr:rowOff>
    </xdr:from>
    <xdr:to>
      <xdr:col>19</xdr:col>
      <xdr:colOff>471761</xdr:colOff>
      <xdr:row>29</xdr:row>
      <xdr:rowOff>134470</xdr:rowOff>
    </xdr:to>
    <xdr:sp macro="" textlink="">
      <xdr:nvSpPr>
        <xdr:cNvPr id="5" name="Rounded Rectangle 3"/>
        <xdr:cNvSpPr/>
      </xdr:nvSpPr>
      <xdr:spPr>
        <a:xfrm>
          <a:off x="2104953" y="739589"/>
          <a:ext cx="9864043" cy="4919381"/>
        </a:xfrm>
        <a:custGeom>
          <a:avLst/>
          <a:gdLst>
            <a:gd name="connsiteX0" fmla="*/ 0 w 8391527"/>
            <a:gd name="connsiteY0" fmla="*/ 703276 h 4219574"/>
            <a:gd name="connsiteX1" fmla="*/ 703276 w 8391527"/>
            <a:gd name="connsiteY1" fmla="*/ 0 h 4219574"/>
            <a:gd name="connsiteX2" fmla="*/ 7688251 w 8391527"/>
            <a:gd name="connsiteY2" fmla="*/ 0 h 4219574"/>
            <a:gd name="connsiteX3" fmla="*/ 8391527 w 8391527"/>
            <a:gd name="connsiteY3" fmla="*/ 703276 h 4219574"/>
            <a:gd name="connsiteX4" fmla="*/ 8391527 w 8391527"/>
            <a:gd name="connsiteY4" fmla="*/ 3516298 h 4219574"/>
            <a:gd name="connsiteX5" fmla="*/ 7688251 w 8391527"/>
            <a:gd name="connsiteY5" fmla="*/ 4219574 h 4219574"/>
            <a:gd name="connsiteX6" fmla="*/ 703276 w 8391527"/>
            <a:gd name="connsiteY6" fmla="*/ 4219574 h 4219574"/>
            <a:gd name="connsiteX7" fmla="*/ 0 w 8391527"/>
            <a:gd name="connsiteY7" fmla="*/ 3516298 h 4219574"/>
            <a:gd name="connsiteX8" fmla="*/ 0 w 8391527"/>
            <a:gd name="connsiteY8" fmla="*/ 703276 h 4219574"/>
            <a:gd name="connsiteX0" fmla="*/ 0 w 8391527"/>
            <a:gd name="connsiteY0" fmla="*/ 703276 h 4219574"/>
            <a:gd name="connsiteX1" fmla="*/ 703276 w 8391527"/>
            <a:gd name="connsiteY1" fmla="*/ 0 h 4219574"/>
            <a:gd name="connsiteX2" fmla="*/ 7688251 w 8391527"/>
            <a:gd name="connsiteY2" fmla="*/ 0 h 4219574"/>
            <a:gd name="connsiteX3" fmla="*/ 8391527 w 8391527"/>
            <a:gd name="connsiteY3" fmla="*/ 703276 h 4219574"/>
            <a:gd name="connsiteX4" fmla="*/ 8391527 w 8391527"/>
            <a:gd name="connsiteY4" fmla="*/ 3516298 h 4219574"/>
            <a:gd name="connsiteX5" fmla="*/ 7688251 w 8391527"/>
            <a:gd name="connsiteY5" fmla="*/ 4219574 h 4219574"/>
            <a:gd name="connsiteX6" fmla="*/ 703276 w 8391527"/>
            <a:gd name="connsiteY6" fmla="*/ 4219574 h 4219574"/>
            <a:gd name="connsiteX7" fmla="*/ 9525 w 8391527"/>
            <a:gd name="connsiteY7" fmla="*/ 3802048 h 4219574"/>
            <a:gd name="connsiteX8" fmla="*/ 0 w 8391527"/>
            <a:gd name="connsiteY8" fmla="*/ 703276 h 4219574"/>
            <a:gd name="connsiteX0" fmla="*/ 9651 w 8382002"/>
            <a:gd name="connsiteY0" fmla="*/ 408001 h 4219574"/>
            <a:gd name="connsiteX1" fmla="*/ 693751 w 8382002"/>
            <a:gd name="connsiteY1" fmla="*/ 0 h 4219574"/>
            <a:gd name="connsiteX2" fmla="*/ 7678726 w 8382002"/>
            <a:gd name="connsiteY2" fmla="*/ 0 h 4219574"/>
            <a:gd name="connsiteX3" fmla="*/ 8382002 w 8382002"/>
            <a:gd name="connsiteY3" fmla="*/ 703276 h 4219574"/>
            <a:gd name="connsiteX4" fmla="*/ 8382002 w 8382002"/>
            <a:gd name="connsiteY4" fmla="*/ 3516298 h 4219574"/>
            <a:gd name="connsiteX5" fmla="*/ 7678726 w 8382002"/>
            <a:gd name="connsiteY5" fmla="*/ 4219574 h 4219574"/>
            <a:gd name="connsiteX6" fmla="*/ 693751 w 8382002"/>
            <a:gd name="connsiteY6" fmla="*/ 4219574 h 4219574"/>
            <a:gd name="connsiteX7" fmla="*/ 0 w 8382002"/>
            <a:gd name="connsiteY7" fmla="*/ 3802048 h 4219574"/>
            <a:gd name="connsiteX8" fmla="*/ 9651 w 8382002"/>
            <a:gd name="connsiteY8" fmla="*/ 408001 h 4219574"/>
            <a:gd name="connsiteX0" fmla="*/ 9651 w 8386283"/>
            <a:gd name="connsiteY0" fmla="*/ 408001 h 4219574"/>
            <a:gd name="connsiteX1" fmla="*/ 693751 w 8386283"/>
            <a:gd name="connsiteY1" fmla="*/ 0 h 4219574"/>
            <a:gd name="connsiteX2" fmla="*/ 8059811 w 8386283"/>
            <a:gd name="connsiteY2" fmla="*/ 9612 h 4219574"/>
            <a:gd name="connsiteX3" fmla="*/ 8382002 w 8386283"/>
            <a:gd name="connsiteY3" fmla="*/ 703276 h 4219574"/>
            <a:gd name="connsiteX4" fmla="*/ 8382002 w 8386283"/>
            <a:gd name="connsiteY4" fmla="*/ 3516298 h 4219574"/>
            <a:gd name="connsiteX5" fmla="*/ 7678726 w 8386283"/>
            <a:gd name="connsiteY5" fmla="*/ 4219574 h 4219574"/>
            <a:gd name="connsiteX6" fmla="*/ 693751 w 8386283"/>
            <a:gd name="connsiteY6" fmla="*/ 4219574 h 4219574"/>
            <a:gd name="connsiteX7" fmla="*/ 0 w 8386283"/>
            <a:gd name="connsiteY7" fmla="*/ 3802048 h 4219574"/>
            <a:gd name="connsiteX8" fmla="*/ 9651 w 8386283"/>
            <a:gd name="connsiteY8" fmla="*/ 408001 h 4219574"/>
            <a:gd name="connsiteX0" fmla="*/ 9651 w 8386283"/>
            <a:gd name="connsiteY0" fmla="*/ 408001 h 4219574"/>
            <a:gd name="connsiteX1" fmla="*/ 693751 w 8386283"/>
            <a:gd name="connsiteY1" fmla="*/ 0 h 4219574"/>
            <a:gd name="connsiteX2" fmla="*/ 8059811 w 8386283"/>
            <a:gd name="connsiteY2" fmla="*/ 9612 h 4219574"/>
            <a:gd name="connsiteX3" fmla="*/ 8382002 w 8386283"/>
            <a:gd name="connsiteY3" fmla="*/ 703276 h 4219574"/>
            <a:gd name="connsiteX4" fmla="*/ 8382002 w 8386283"/>
            <a:gd name="connsiteY4" fmla="*/ 3516298 h 4219574"/>
            <a:gd name="connsiteX5" fmla="*/ 8012175 w 8386283"/>
            <a:gd name="connsiteY5" fmla="*/ 4209962 h 4219574"/>
            <a:gd name="connsiteX6" fmla="*/ 693751 w 8386283"/>
            <a:gd name="connsiteY6" fmla="*/ 4219574 h 4219574"/>
            <a:gd name="connsiteX7" fmla="*/ 0 w 8386283"/>
            <a:gd name="connsiteY7" fmla="*/ 3802048 h 4219574"/>
            <a:gd name="connsiteX8" fmla="*/ 9651 w 8386283"/>
            <a:gd name="connsiteY8" fmla="*/ 408001 h 421957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8386283" h="4219574">
              <a:moveTo>
                <a:pt x="9651" y="408001"/>
              </a:moveTo>
              <a:cubicBezTo>
                <a:pt x="9651" y="19592"/>
                <a:pt x="305342" y="0"/>
                <a:pt x="693751" y="0"/>
              </a:cubicBezTo>
              <a:lnTo>
                <a:pt x="8059811" y="9612"/>
              </a:lnTo>
              <a:cubicBezTo>
                <a:pt x="8448220" y="9612"/>
                <a:pt x="8382002" y="314867"/>
                <a:pt x="8382002" y="703276"/>
              </a:cubicBezTo>
              <a:lnTo>
                <a:pt x="8382002" y="3516298"/>
              </a:lnTo>
              <a:cubicBezTo>
                <a:pt x="8382002" y="3904707"/>
                <a:pt x="8400584" y="4209962"/>
                <a:pt x="8012175" y="4209962"/>
              </a:cubicBezTo>
              <a:lnTo>
                <a:pt x="693751" y="4219574"/>
              </a:lnTo>
              <a:cubicBezTo>
                <a:pt x="305342" y="4219574"/>
                <a:pt x="0" y="4190457"/>
                <a:pt x="0" y="3802048"/>
              </a:cubicBezTo>
              <a:cubicBezTo>
                <a:pt x="0" y="2864374"/>
                <a:pt x="9651" y="1345675"/>
                <a:pt x="9651" y="408001"/>
              </a:cubicBezTo>
              <a:close/>
            </a:path>
          </a:pathLst>
        </a:cu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504381</xdr:colOff>
      <xdr:row>8</xdr:row>
      <xdr:rowOff>107069</xdr:rowOff>
    </xdr:from>
    <xdr:to>
      <xdr:col>3</xdr:col>
      <xdr:colOff>25651</xdr:colOff>
      <xdr:row>11</xdr:row>
      <xdr:rowOff>30968</xdr:rowOff>
    </xdr:to>
    <xdr:sp macro="" textlink="">
      <xdr:nvSpPr>
        <xdr:cNvPr id="6" name="Rounded Rectangle 5">
          <a:hlinkClick xmlns:r="http://schemas.openxmlformats.org/officeDocument/2006/relationships" r:id="rId1"/>
        </xdr:cNvPr>
        <xdr:cNvSpPr/>
      </xdr:nvSpPr>
      <xdr:spPr>
        <a:xfrm>
          <a:off x="504381" y="1631069"/>
          <a:ext cx="1336623" cy="495399"/>
        </a:xfrm>
        <a:prstGeom prst="round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latin typeface="Arial Black" pitchFamily="34" charset="0"/>
            </a:rPr>
            <a:t>DASHBOARD</a:t>
          </a:r>
          <a:endParaRPr lang="en-US" sz="800" b="1">
            <a:solidFill>
              <a:sysClr val="windowText" lastClr="000000"/>
            </a:solidFill>
            <a:latin typeface="Arial Black" pitchFamily="34" charset="0"/>
          </a:endParaRPr>
        </a:p>
      </xdr:txBody>
    </xdr:sp>
    <xdr:clientData/>
  </xdr:twoCellAnchor>
  <xdr:twoCellAnchor>
    <xdr:from>
      <xdr:col>0</xdr:col>
      <xdr:colOff>470755</xdr:colOff>
      <xdr:row>13</xdr:row>
      <xdr:rowOff>39405</xdr:rowOff>
    </xdr:from>
    <xdr:to>
      <xdr:col>2</xdr:col>
      <xdr:colOff>598290</xdr:colOff>
      <xdr:row>15</xdr:row>
      <xdr:rowOff>157934</xdr:rowOff>
    </xdr:to>
    <xdr:sp macro="" textlink="">
      <xdr:nvSpPr>
        <xdr:cNvPr id="7" name="Rounded Rectangle 6">
          <a:hlinkClick xmlns:r="http://schemas.openxmlformats.org/officeDocument/2006/relationships" r:id="rId2"/>
        </xdr:cNvPr>
        <xdr:cNvSpPr/>
      </xdr:nvSpPr>
      <xdr:spPr>
        <a:xfrm>
          <a:off x="470755" y="2515905"/>
          <a:ext cx="1337770" cy="49952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FF0066"/>
              </a:solidFill>
              <a:latin typeface="Arial Black" pitchFamily="34" charset="0"/>
              <a:ea typeface="+mn-ea"/>
              <a:cs typeface="+mn-cs"/>
            </a:rPr>
            <a:t>PRODUCT</a:t>
          </a:r>
        </a:p>
      </xdr:txBody>
    </xdr:sp>
    <xdr:clientData/>
  </xdr:twoCellAnchor>
  <xdr:twoCellAnchor>
    <xdr:from>
      <xdr:col>0</xdr:col>
      <xdr:colOff>448338</xdr:colOff>
      <xdr:row>17</xdr:row>
      <xdr:rowOff>140664</xdr:rowOff>
    </xdr:from>
    <xdr:to>
      <xdr:col>2</xdr:col>
      <xdr:colOff>575873</xdr:colOff>
      <xdr:row>20</xdr:row>
      <xdr:rowOff>64032</xdr:rowOff>
    </xdr:to>
    <xdr:sp macro="" textlink="">
      <xdr:nvSpPr>
        <xdr:cNvPr id="8" name="Rounded Rectangle 7">
          <a:hlinkClick xmlns:r="http://schemas.openxmlformats.org/officeDocument/2006/relationships" r:id="rId3"/>
        </xdr:cNvPr>
        <xdr:cNvSpPr/>
      </xdr:nvSpPr>
      <xdr:spPr>
        <a:xfrm>
          <a:off x="448338" y="3379164"/>
          <a:ext cx="1337770" cy="494868"/>
        </a:xfrm>
        <a:prstGeom prst="round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latin typeface="Arial Black" pitchFamily="34" charset="0"/>
              <a:ea typeface="+mn-ea"/>
              <a:cs typeface="+mn-cs"/>
            </a:rPr>
            <a:t>SALESPERSON</a:t>
          </a:r>
          <a:endParaRPr lang="en-US" sz="900" b="1">
            <a:solidFill>
              <a:schemeClr val="tx1"/>
            </a:solidFill>
            <a:latin typeface="Arial Black" pitchFamily="34" charset="0"/>
            <a:ea typeface="+mn-ea"/>
            <a:cs typeface="+mn-cs"/>
          </a:endParaRPr>
        </a:p>
      </xdr:txBody>
    </xdr:sp>
    <xdr:clientData/>
  </xdr:twoCellAnchor>
  <xdr:twoCellAnchor>
    <xdr:from>
      <xdr:col>0</xdr:col>
      <xdr:colOff>459547</xdr:colOff>
      <xdr:row>22</xdr:row>
      <xdr:rowOff>171362</xdr:rowOff>
    </xdr:from>
    <xdr:to>
      <xdr:col>2</xdr:col>
      <xdr:colOff>587082</xdr:colOff>
      <xdr:row>25</xdr:row>
      <xdr:rowOff>99391</xdr:rowOff>
    </xdr:to>
    <xdr:sp macro="" textlink="">
      <xdr:nvSpPr>
        <xdr:cNvPr id="9" name="Rounded Rectangle 8">
          <a:hlinkClick xmlns:r="http://schemas.openxmlformats.org/officeDocument/2006/relationships" r:id="rId4"/>
        </xdr:cNvPr>
        <xdr:cNvSpPr/>
      </xdr:nvSpPr>
      <xdr:spPr>
        <a:xfrm>
          <a:off x="459547" y="3409862"/>
          <a:ext cx="1346735" cy="499529"/>
        </a:xfrm>
        <a:prstGeom prst="round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Black" pitchFamily="34" charset="0"/>
              <a:ea typeface="+mn-ea"/>
              <a:cs typeface="+mn-cs"/>
            </a:rPr>
            <a:t>CONCLUSION</a:t>
          </a:r>
          <a:endParaRPr lang="en-US" sz="900" b="1">
            <a:solidFill>
              <a:schemeClr val="tx1"/>
            </a:solidFill>
            <a:latin typeface="Arial Black" pitchFamily="34" charset="0"/>
            <a:ea typeface="+mn-ea"/>
            <a:cs typeface="+mn-cs"/>
          </a:endParaRPr>
        </a:p>
      </xdr:txBody>
    </xdr:sp>
    <xdr:clientData/>
  </xdr:twoCellAnchor>
  <xdr:twoCellAnchor>
    <xdr:from>
      <xdr:col>3</xdr:col>
      <xdr:colOff>494666</xdr:colOff>
      <xdr:row>10</xdr:row>
      <xdr:rowOff>30256</xdr:rowOff>
    </xdr:from>
    <xdr:to>
      <xdr:col>19</xdr:col>
      <xdr:colOff>336175</xdr:colOff>
      <xdr:row>14</xdr:row>
      <xdr:rowOff>141728</xdr:rowOff>
    </xdr:to>
    <mc:AlternateContent xmlns:mc="http://schemas.openxmlformats.org/markup-compatibility/2006" xmlns:a14="http://schemas.microsoft.com/office/drawing/2010/main">
      <mc:Choice Requires="a14">
        <xdr:graphicFrame macro="">
          <xdr:nvGraphicFramePr>
            <xdr:cNvPr id="16" name="Product 9"/>
            <xdr:cNvGraphicFramePr/>
          </xdr:nvGraphicFramePr>
          <xdr:xfrm>
            <a:off x="0" y="0"/>
            <a:ext cx="0" cy="0"/>
          </xdr:xfrm>
          <a:graphic>
            <a:graphicData uri="http://schemas.microsoft.com/office/drawing/2010/slicer">
              <sle:slicer xmlns:sle="http://schemas.microsoft.com/office/drawing/2010/slicer" name="Product 9"/>
            </a:graphicData>
          </a:graphic>
        </xdr:graphicFrame>
      </mc:Choice>
      <mc:Fallback xmlns="">
        <xdr:sp macro="" textlink="">
          <xdr:nvSpPr>
            <xdr:cNvPr id="0" name=""/>
            <xdr:cNvSpPr>
              <a:spLocks noTextEdit="1"/>
            </xdr:cNvSpPr>
          </xdr:nvSpPr>
          <xdr:spPr>
            <a:xfrm>
              <a:off x="2310019" y="1935256"/>
              <a:ext cx="9523391" cy="87347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480100</xdr:colOff>
      <xdr:row>4</xdr:row>
      <xdr:rowOff>123825</xdr:rowOff>
    </xdr:from>
    <xdr:to>
      <xdr:col>15</xdr:col>
      <xdr:colOff>33617</xdr:colOff>
      <xdr:row>9</xdr:row>
      <xdr:rowOff>100852</xdr:rowOff>
    </xdr:to>
    <mc:AlternateContent xmlns:mc="http://schemas.openxmlformats.org/markup-compatibility/2006" xmlns:a14="http://schemas.microsoft.com/office/drawing/2010/main">
      <mc:Choice Requires="a14">
        <xdr:graphicFrame macro="">
          <xdr:nvGraphicFramePr>
            <xdr:cNvPr id="17" name="Month 4"/>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2308900" y="123826"/>
              <a:ext cx="6753225"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15</xdr:col>
      <xdr:colOff>168088</xdr:colOff>
      <xdr:row>4</xdr:row>
      <xdr:rowOff>114301</xdr:rowOff>
    </xdr:from>
    <xdr:to>
      <xdr:col>19</xdr:col>
      <xdr:colOff>291352</xdr:colOff>
      <xdr:row>9</xdr:row>
      <xdr:rowOff>123265</xdr:rowOff>
    </xdr:to>
    <mc:AlternateContent xmlns:mc="http://schemas.openxmlformats.org/markup-compatibility/2006" xmlns:a14="http://schemas.microsoft.com/office/drawing/2010/main">
      <mc:Choice Requires="a14">
        <xdr:graphicFrame macro="">
          <xdr:nvGraphicFramePr>
            <xdr:cNvPr id="18" name="Region 9"/>
            <xdr:cNvGraphicFramePr/>
          </xdr:nvGraphicFramePr>
          <xdr:xfrm>
            <a:off x="0" y="0"/>
            <a:ext cx="0" cy="0"/>
          </xdr:xfrm>
          <a:graphic>
            <a:graphicData uri="http://schemas.microsoft.com/office/drawing/2010/slicer">
              <sle:slicer xmlns:sle="http://schemas.microsoft.com/office/drawing/2010/slicer" name="Region 9"/>
            </a:graphicData>
          </a:graphic>
        </xdr:graphicFrame>
      </mc:Choice>
      <mc:Fallback xmlns="">
        <xdr:sp macro="" textlink="">
          <xdr:nvSpPr>
            <xdr:cNvPr id="0" name=""/>
            <xdr:cNvSpPr>
              <a:spLocks noTextEdit="1"/>
            </xdr:cNvSpPr>
          </xdr:nvSpPr>
          <xdr:spPr>
            <a:xfrm>
              <a:off x="9119276" y="114301"/>
              <a:ext cx="24384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342900</xdr:colOff>
      <xdr:row>15</xdr:row>
      <xdr:rowOff>177051</xdr:rowOff>
    </xdr:from>
    <xdr:to>
      <xdr:col>6</xdr:col>
      <xdr:colOff>571500</xdr:colOff>
      <xdr:row>17</xdr:row>
      <xdr:rowOff>154438</xdr:rowOff>
    </xdr:to>
    <xdr:sp macro="" textlink="">
      <xdr:nvSpPr>
        <xdr:cNvPr id="21" name="Rounded Rectangle 20"/>
        <xdr:cNvSpPr/>
      </xdr:nvSpPr>
      <xdr:spPr>
        <a:xfrm>
          <a:off x="2763371" y="3034551"/>
          <a:ext cx="1438835" cy="358387"/>
        </a:xfrm>
        <a:prstGeom prst="round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400" b="1">
              <a:solidFill>
                <a:sysClr val="windowText" lastClr="000000"/>
              </a:solidFill>
              <a:latin typeface="Arial Black" pitchFamily="34" charset="0"/>
            </a:rPr>
            <a:t>ANALYTICS</a:t>
          </a:r>
          <a:endParaRPr lang="en-US" sz="1000" b="1">
            <a:solidFill>
              <a:sysClr val="windowText" lastClr="000000"/>
            </a:solidFill>
            <a:latin typeface="Arial Black" pitchFamily="34" charset="0"/>
          </a:endParaRPr>
        </a:p>
      </xdr:txBody>
    </xdr:sp>
    <xdr:clientData/>
  </xdr:twoCellAnchor>
  <xdr:twoCellAnchor>
    <xdr:from>
      <xdr:col>3</xdr:col>
      <xdr:colOff>419100</xdr:colOff>
      <xdr:row>15</xdr:row>
      <xdr:rowOff>119902</xdr:rowOff>
    </xdr:from>
    <xdr:to>
      <xdr:col>4</xdr:col>
      <xdr:colOff>333375</xdr:colOff>
      <xdr:row>17</xdr:row>
      <xdr:rowOff>167528</xdr:rowOff>
    </xdr:to>
    <xdr:pic>
      <xdr:nvPicPr>
        <xdr:cNvPr id="22" name="Picture 21"/>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foregroundMark x1="14080" y1="84375" x2="13506" y2="55966"/>
                      <a14:foregroundMark x1="13506" y1="55398" x2="26437" y2="55682"/>
                      <a14:foregroundMark x1="30460" y1="42614" x2="43391" y2="41761"/>
                      <a14:foregroundMark x1="63793" y1="34091" x2="75000" y2="33807"/>
                      <a14:foregroundMark x1="11494" y1="87500" x2="85345" y2="87500"/>
                      <a14:backgroundMark x1="14943" y1="5966" x2="87644" y2="4545"/>
                    </a14:backgroundRemoval>
                  </a14:imgEffect>
                </a14:imgLayer>
              </a14:imgProps>
            </a:ext>
            <a:ext uri="{28A0092B-C50C-407E-A947-70E740481C1C}">
              <a14:useLocalDpi xmlns:a14="http://schemas.microsoft.com/office/drawing/2010/main" val="0"/>
            </a:ext>
          </a:extLst>
        </a:blip>
        <a:srcRect t="12950" r="16667"/>
        <a:stretch/>
      </xdr:blipFill>
      <xdr:spPr>
        <a:xfrm>
          <a:off x="2234453" y="2977402"/>
          <a:ext cx="519393" cy="428626"/>
        </a:xfrm>
        <a:prstGeom prst="rect">
          <a:avLst/>
        </a:prstGeom>
      </xdr:spPr>
    </xdr:pic>
    <xdr:clientData/>
  </xdr:twoCellAnchor>
  <xdr:twoCellAnchor>
    <xdr:from>
      <xdr:col>3</xdr:col>
      <xdr:colOff>413425</xdr:colOff>
      <xdr:row>18</xdr:row>
      <xdr:rowOff>33618</xdr:rowOff>
    </xdr:from>
    <xdr:to>
      <xdr:col>9</xdr:col>
      <xdr:colOff>9524</xdr:colOff>
      <xdr:row>28</xdr:row>
      <xdr:rowOff>85725</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165100</xdr:colOff>
      <xdr:row>18</xdr:row>
      <xdr:rowOff>44824</xdr:rowOff>
    </xdr:from>
    <xdr:to>
      <xdr:col>14</xdr:col>
      <xdr:colOff>254000</xdr:colOff>
      <xdr:row>28</xdr:row>
      <xdr:rowOff>76200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406400</xdr:colOff>
      <xdr:row>18</xdr:row>
      <xdr:rowOff>44824</xdr:rowOff>
    </xdr:from>
    <xdr:to>
      <xdr:col>19</xdr:col>
      <xdr:colOff>257736</xdr:colOff>
      <xdr:row>28</xdr:row>
      <xdr:rowOff>101600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25400</xdr:colOff>
      <xdr:row>0</xdr:row>
      <xdr:rowOff>31376</xdr:rowOff>
    </xdr:from>
    <xdr:to>
      <xdr:col>19</xdr:col>
      <xdr:colOff>533400</xdr:colOff>
      <xdr:row>3</xdr:row>
      <xdr:rowOff>69476</xdr:rowOff>
    </xdr:to>
    <xdr:sp macro="" textlink="">
      <xdr:nvSpPr>
        <xdr:cNvPr id="2" name="Rectangle 1"/>
        <xdr:cNvSpPr/>
      </xdr:nvSpPr>
      <xdr:spPr>
        <a:xfrm>
          <a:off x="25400" y="221876"/>
          <a:ext cx="12005235" cy="609600"/>
        </a:xfrm>
        <a:prstGeom prst="rect">
          <a:avLst/>
        </a:prstGeom>
        <a:solidFill>
          <a:srgbClr val="FF0066">
            <a:alpha val="78039"/>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3200">
              <a:solidFill>
                <a:schemeClr val="lt1"/>
              </a:solidFill>
              <a:latin typeface="Arial Black" pitchFamily="34" charset="0"/>
              <a:ea typeface="+mn-ea"/>
              <a:cs typeface="+mn-cs"/>
            </a:rPr>
            <a:t>Product Sales Performance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100852</xdr:rowOff>
    </xdr:from>
    <xdr:to>
      <xdr:col>19</xdr:col>
      <xdr:colOff>533400</xdr:colOff>
      <xdr:row>28</xdr:row>
      <xdr:rowOff>186122</xdr:rowOff>
    </xdr:to>
    <xdr:grpSp>
      <xdr:nvGrpSpPr>
        <xdr:cNvPr id="3" name="Group 2"/>
        <xdr:cNvGrpSpPr/>
      </xdr:nvGrpSpPr>
      <xdr:grpSpPr>
        <a:xfrm>
          <a:off x="0" y="672352"/>
          <a:ext cx="12030635" cy="4847770"/>
          <a:chOff x="0" y="-56030"/>
          <a:chExt cx="12115800" cy="4847770"/>
        </a:xfrm>
      </xdr:grpSpPr>
      <xdr:grpSp>
        <xdr:nvGrpSpPr>
          <xdr:cNvPr id="25" name="Group 24"/>
          <xdr:cNvGrpSpPr/>
        </xdr:nvGrpSpPr>
        <xdr:grpSpPr>
          <a:xfrm>
            <a:off x="0" y="-56030"/>
            <a:ext cx="12115800" cy="4847770"/>
            <a:chOff x="0" y="-56030"/>
            <a:chExt cx="12115800" cy="4847770"/>
          </a:xfrm>
        </xdr:grpSpPr>
        <xdr:grpSp>
          <xdr:nvGrpSpPr>
            <xdr:cNvPr id="4" name="Group 3"/>
            <xdr:cNvGrpSpPr/>
          </xdr:nvGrpSpPr>
          <xdr:grpSpPr>
            <a:xfrm>
              <a:off x="0" y="-56030"/>
              <a:ext cx="12115800" cy="4847770"/>
              <a:chOff x="200026" y="389270"/>
              <a:chExt cx="10252046" cy="4229100"/>
            </a:xfrm>
          </xdr:grpSpPr>
          <xdr:sp macro="" textlink="">
            <xdr:nvSpPr>
              <xdr:cNvPr id="8" name="Rounded Rectangle 7"/>
              <xdr:cNvSpPr/>
            </xdr:nvSpPr>
            <xdr:spPr>
              <a:xfrm>
                <a:off x="200026" y="389270"/>
                <a:ext cx="10252046" cy="4229100"/>
              </a:xfrm>
              <a:prstGeom prst="rect">
                <a:avLst/>
              </a:prstGeom>
              <a:solidFill>
                <a:srgbClr val="FF0066">
                  <a:alpha val="78039"/>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ounded Rectangle 3"/>
              <xdr:cNvSpPr/>
            </xdr:nvSpPr>
            <xdr:spPr>
              <a:xfrm>
                <a:off x="1990699" y="428376"/>
                <a:ext cx="8448707" cy="4164485"/>
              </a:xfrm>
              <a:custGeom>
                <a:avLst/>
                <a:gdLst>
                  <a:gd name="connsiteX0" fmla="*/ 0 w 9903236"/>
                  <a:gd name="connsiteY0" fmla="*/ 806158 h 4836851"/>
                  <a:gd name="connsiteX1" fmla="*/ 806158 w 9903236"/>
                  <a:gd name="connsiteY1" fmla="*/ 0 h 4836851"/>
                  <a:gd name="connsiteX2" fmla="*/ 9097078 w 9903236"/>
                  <a:gd name="connsiteY2" fmla="*/ 0 h 4836851"/>
                  <a:gd name="connsiteX3" fmla="*/ 9903236 w 9903236"/>
                  <a:gd name="connsiteY3" fmla="*/ 806158 h 4836851"/>
                  <a:gd name="connsiteX4" fmla="*/ 9903236 w 9903236"/>
                  <a:gd name="connsiteY4" fmla="*/ 4030693 h 4836851"/>
                  <a:gd name="connsiteX5" fmla="*/ 9097078 w 9903236"/>
                  <a:gd name="connsiteY5" fmla="*/ 4836851 h 4836851"/>
                  <a:gd name="connsiteX6" fmla="*/ 806158 w 9903236"/>
                  <a:gd name="connsiteY6" fmla="*/ 4836851 h 4836851"/>
                  <a:gd name="connsiteX7" fmla="*/ 0 w 9903236"/>
                  <a:gd name="connsiteY7" fmla="*/ 4030693 h 4836851"/>
                  <a:gd name="connsiteX8" fmla="*/ 0 w 9903236"/>
                  <a:gd name="connsiteY8" fmla="*/ 806158 h 4836851"/>
                  <a:gd name="connsiteX0" fmla="*/ 0 w 9903236"/>
                  <a:gd name="connsiteY0" fmla="*/ 481187 h 4836851"/>
                  <a:gd name="connsiteX1" fmla="*/ 806158 w 9903236"/>
                  <a:gd name="connsiteY1" fmla="*/ 0 h 4836851"/>
                  <a:gd name="connsiteX2" fmla="*/ 9097078 w 9903236"/>
                  <a:gd name="connsiteY2" fmla="*/ 0 h 4836851"/>
                  <a:gd name="connsiteX3" fmla="*/ 9903236 w 9903236"/>
                  <a:gd name="connsiteY3" fmla="*/ 806158 h 4836851"/>
                  <a:gd name="connsiteX4" fmla="*/ 9903236 w 9903236"/>
                  <a:gd name="connsiteY4" fmla="*/ 4030693 h 4836851"/>
                  <a:gd name="connsiteX5" fmla="*/ 9097078 w 9903236"/>
                  <a:gd name="connsiteY5" fmla="*/ 4836851 h 4836851"/>
                  <a:gd name="connsiteX6" fmla="*/ 806158 w 9903236"/>
                  <a:gd name="connsiteY6" fmla="*/ 4836851 h 4836851"/>
                  <a:gd name="connsiteX7" fmla="*/ 0 w 9903236"/>
                  <a:gd name="connsiteY7" fmla="*/ 4030693 h 4836851"/>
                  <a:gd name="connsiteX8" fmla="*/ 0 w 9903236"/>
                  <a:gd name="connsiteY8" fmla="*/ 481187 h 4836851"/>
                  <a:gd name="connsiteX0" fmla="*/ 0 w 9903236"/>
                  <a:gd name="connsiteY0" fmla="*/ 481187 h 4836851"/>
                  <a:gd name="connsiteX1" fmla="*/ 806158 w 9903236"/>
                  <a:gd name="connsiteY1" fmla="*/ 0 h 4836851"/>
                  <a:gd name="connsiteX2" fmla="*/ 9444461 w 9903236"/>
                  <a:gd name="connsiteY2" fmla="*/ 33618 h 4836851"/>
                  <a:gd name="connsiteX3" fmla="*/ 9903236 w 9903236"/>
                  <a:gd name="connsiteY3" fmla="*/ 806158 h 4836851"/>
                  <a:gd name="connsiteX4" fmla="*/ 9903236 w 9903236"/>
                  <a:gd name="connsiteY4" fmla="*/ 4030693 h 4836851"/>
                  <a:gd name="connsiteX5" fmla="*/ 9097078 w 9903236"/>
                  <a:gd name="connsiteY5" fmla="*/ 4836851 h 4836851"/>
                  <a:gd name="connsiteX6" fmla="*/ 806158 w 9903236"/>
                  <a:gd name="connsiteY6" fmla="*/ 4836851 h 4836851"/>
                  <a:gd name="connsiteX7" fmla="*/ 0 w 9903236"/>
                  <a:gd name="connsiteY7" fmla="*/ 4030693 h 4836851"/>
                  <a:gd name="connsiteX8" fmla="*/ 0 w 9903236"/>
                  <a:gd name="connsiteY8" fmla="*/ 481187 h 4836851"/>
                  <a:gd name="connsiteX0" fmla="*/ 11206 w 9914442"/>
                  <a:gd name="connsiteY0" fmla="*/ 481187 h 4836864"/>
                  <a:gd name="connsiteX1" fmla="*/ 817364 w 9914442"/>
                  <a:gd name="connsiteY1" fmla="*/ 0 h 4836864"/>
                  <a:gd name="connsiteX2" fmla="*/ 9455667 w 9914442"/>
                  <a:gd name="connsiteY2" fmla="*/ 33618 h 4836864"/>
                  <a:gd name="connsiteX3" fmla="*/ 9914442 w 9914442"/>
                  <a:gd name="connsiteY3" fmla="*/ 806158 h 4836864"/>
                  <a:gd name="connsiteX4" fmla="*/ 9914442 w 9914442"/>
                  <a:gd name="connsiteY4" fmla="*/ 4030693 h 4836864"/>
                  <a:gd name="connsiteX5" fmla="*/ 9108284 w 9914442"/>
                  <a:gd name="connsiteY5" fmla="*/ 4836851 h 4836864"/>
                  <a:gd name="connsiteX6" fmla="*/ 817364 w 9914442"/>
                  <a:gd name="connsiteY6" fmla="*/ 4836851 h 4836864"/>
                  <a:gd name="connsiteX7" fmla="*/ 0 w 9914442"/>
                  <a:gd name="connsiteY7" fmla="*/ 4400487 h 4836864"/>
                  <a:gd name="connsiteX8" fmla="*/ 11206 w 9914442"/>
                  <a:gd name="connsiteY8" fmla="*/ 481187 h 4836864"/>
                  <a:gd name="connsiteX0" fmla="*/ 11206 w 9914442"/>
                  <a:gd name="connsiteY0" fmla="*/ 481187 h 4836864"/>
                  <a:gd name="connsiteX1" fmla="*/ 817364 w 9914442"/>
                  <a:gd name="connsiteY1" fmla="*/ 0 h 4836864"/>
                  <a:gd name="connsiteX2" fmla="*/ 9455667 w 9914442"/>
                  <a:gd name="connsiteY2" fmla="*/ 33618 h 4836864"/>
                  <a:gd name="connsiteX3" fmla="*/ 9914442 w 9914442"/>
                  <a:gd name="connsiteY3" fmla="*/ 806158 h 4836864"/>
                  <a:gd name="connsiteX4" fmla="*/ 9914442 w 9914442"/>
                  <a:gd name="connsiteY4" fmla="*/ 4030693 h 4836864"/>
                  <a:gd name="connsiteX5" fmla="*/ 9466873 w 9914442"/>
                  <a:gd name="connsiteY5" fmla="*/ 4836851 h 4836864"/>
                  <a:gd name="connsiteX6" fmla="*/ 817364 w 9914442"/>
                  <a:gd name="connsiteY6" fmla="*/ 4836851 h 4836864"/>
                  <a:gd name="connsiteX7" fmla="*/ 0 w 9914442"/>
                  <a:gd name="connsiteY7" fmla="*/ 4400487 h 4836864"/>
                  <a:gd name="connsiteX8" fmla="*/ 11206 w 9914442"/>
                  <a:gd name="connsiteY8" fmla="*/ 481187 h 48368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914442" h="4836864">
                    <a:moveTo>
                      <a:pt x="11206" y="481187"/>
                    </a:moveTo>
                    <a:cubicBezTo>
                      <a:pt x="11206" y="35958"/>
                      <a:pt x="372135" y="0"/>
                      <a:pt x="817364" y="0"/>
                    </a:cubicBezTo>
                    <a:lnTo>
                      <a:pt x="9455667" y="33618"/>
                    </a:lnTo>
                    <a:cubicBezTo>
                      <a:pt x="9900896" y="33618"/>
                      <a:pt x="9914442" y="360929"/>
                      <a:pt x="9914442" y="806158"/>
                    </a:cubicBezTo>
                    <a:lnTo>
                      <a:pt x="9914442" y="4030693"/>
                    </a:lnTo>
                    <a:cubicBezTo>
                      <a:pt x="9914442" y="4475922"/>
                      <a:pt x="9912102" y="4836851"/>
                      <a:pt x="9466873" y="4836851"/>
                    </a:cubicBezTo>
                    <a:lnTo>
                      <a:pt x="817364" y="4836851"/>
                    </a:lnTo>
                    <a:cubicBezTo>
                      <a:pt x="372135" y="4836851"/>
                      <a:pt x="0" y="4845716"/>
                      <a:pt x="0" y="4400487"/>
                    </a:cubicBezTo>
                    <a:cubicBezTo>
                      <a:pt x="3735" y="3094054"/>
                      <a:pt x="7471" y="1787620"/>
                      <a:pt x="11206" y="481187"/>
                    </a:cubicBezTo>
                    <a:close/>
                  </a:path>
                </a:pathLst>
              </a:cu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ounded Rectangle 9">
                <a:hlinkClick xmlns:r="http://schemas.openxmlformats.org/officeDocument/2006/relationships" r:id="rId1"/>
              </xdr:cNvPr>
              <xdr:cNvSpPr/>
            </xdr:nvSpPr>
            <xdr:spPr>
              <a:xfrm>
                <a:off x="628650" y="1066800"/>
                <a:ext cx="1147293" cy="437291"/>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latin typeface="Arial Black" pitchFamily="34" charset="0"/>
                  </a:rPr>
                  <a:t>DASHBOARD</a:t>
                </a:r>
              </a:p>
            </xdr:txBody>
          </xdr:sp>
          <xdr:sp macro="" textlink="">
            <xdr:nvSpPr>
              <xdr:cNvPr id="11" name="Rounded Rectangle 10">
                <a:hlinkClick xmlns:r="http://schemas.openxmlformats.org/officeDocument/2006/relationships" r:id="rId2"/>
              </xdr:cNvPr>
              <xdr:cNvSpPr/>
            </xdr:nvSpPr>
            <xdr:spPr>
              <a:xfrm>
                <a:off x="600075" y="1847848"/>
                <a:ext cx="1144459" cy="440936"/>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latin typeface="Arial Black" pitchFamily="34" charset="0"/>
                    <a:ea typeface="+mn-ea"/>
                    <a:cs typeface="+mn-cs"/>
                  </a:rPr>
                  <a:t>PRODUCT</a:t>
                </a:r>
              </a:p>
            </xdr:txBody>
          </xdr:sp>
          <xdr:sp macro="" textlink="">
            <xdr:nvSpPr>
              <xdr:cNvPr id="12" name="Rounded Rectangle 11">
                <a:hlinkClick xmlns:r="http://schemas.openxmlformats.org/officeDocument/2006/relationships" r:id="rId3"/>
              </xdr:cNvPr>
              <xdr:cNvSpPr/>
            </xdr:nvSpPr>
            <xdr:spPr>
              <a:xfrm>
                <a:off x="581025" y="2609850"/>
                <a:ext cx="1144459" cy="436822"/>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rgbClr val="FF0066"/>
                    </a:solidFill>
                    <a:latin typeface="Arial Black" pitchFamily="34" charset="0"/>
                    <a:ea typeface="+mn-ea"/>
                    <a:cs typeface="+mn-cs"/>
                  </a:rPr>
                  <a:t>SALESPERSON</a:t>
                </a:r>
                <a:endParaRPr lang="en-US" sz="900" b="1">
                  <a:solidFill>
                    <a:srgbClr val="FF0066"/>
                  </a:solidFill>
                  <a:latin typeface="Arial Black" pitchFamily="34" charset="0"/>
                  <a:ea typeface="+mn-ea"/>
                  <a:cs typeface="+mn-cs"/>
                </a:endParaRPr>
              </a:p>
            </xdr:txBody>
          </xdr:sp>
          <xdr:sp macro="" textlink="">
            <xdr:nvSpPr>
              <xdr:cNvPr id="13" name="Rounded Rectangle 12">
                <a:hlinkClick xmlns:r="http://schemas.openxmlformats.org/officeDocument/2006/relationships" r:id="rId4"/>
              </xdr:cNvPr>
              <xdr:cNvSpPr/>
            </xdr:nvSpPr>
            <xdr:spPr>
              <a:xfrm>
                <a:off x="590550" y="3448048"/>
                <a:ext cx="1144459" cy="440936"/>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Black" pitchFamily="34" charset="0"/>
                    <a:ea typeface="+mn-ea"/>
                    <a:cs typeface="+mn-cs"/>
                  </a:rPr>
                  <a:t>CONCLUSION</a:t>
                </a:r>
                <a:endParaRPr lang="en-US" sz="900" b="1">
                  <a:solidFill>
                    <a:schemeClr val="tx1"/>
                  </a:solidFill>
                  <a:latin typeface="Arial Black" pitchFamily="34" charset="0"/>
                  <a:ea typeface="+mn-ea"/>
                  <a:cs typeface="+mn-cs"/>
                </a:endParaRPr>
              </a:p>
            </xdr:txBody>
          </xdr:sp>
          <mc:AlternateContent xmlns:mc="http://schemas.openxmlformats.org/markup-compatibility/2006" xmlns:a14="http://schemas.microsoft.com/office/drawing/2010/main">
            <mc:Choice Requires="a14">
              <xdr:graphicFrame macro="">
                <xdr:nvGraphicFramePr>
                  <xdr:cNvPr id="16" name="Product 7"/>
                  <xdr:cNvGraphicFramePr/>
                </xdr:nvGraphicFramePr>
                <xdr:xfrm>
                  <a:off x="2126314" y="1533526"/>
                  <a:ext cx="8081299" cy="615388"/>
                </xdr:xfrm>
                <a:graphic>
                  <a:graphicData uri="http://schemas.microsoft.com/office/drawing/2010/slicer">
                    <sle:slicer xmlns:sle="http://schemas.microsoft.com/office/drawing/2010/slicer" name="Product 7"/>
                  </a:graphicData>
                </a:graphic>
              </xdr:graphicFrame>
            </mc:Choice>
            <mc:Fallback xmlns="">
              <xdr:sp macro="" textlink="">
                <xdr:nvSpPr>
                  <xdr:cNvPr id="0" name=""/>
                  <xdr:cNvSpPr>
                    <a:spLocks noTextEdit="1"/>
                  </xdr:cNvSpPr>
                </xdr:nvSpPr>
                <xdr:spPr>
                  <a:xfrm>
                    <a:off x="2260472" y="1984000"/>
                    <a:ext cx="9252307" cy="87347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grpSp>
        <xdr:graphicFrame macro="">
          <xdr:nvGraphicFramePr>
            <xdr:cNvPr id="18" name="Chart 17"/>
            <xdr:cNvGraphicFramePr>
              <a:graphicFrameLocks/>
            </xdr:cNvGraphicFramePr>
          </xdr:nvGraphicFramePr>
          <xdr:xfrm>
            <a:off x="2324099" y="2689412"/>
            <a:ext cx="3442642" cy="1968313"/>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9" name="Chart 18"/>
            <xdr:cNvGraphicFramePr>
              <a:graphicFrameLocks/>
            </xdr:cNvGraphicFramePr>
          </xdr:nvGraphicFramePr>
          <xdr:xfrm>
            <a:off x="5890879" y="2700618"/>
            <a:ext cx="2968009" cy="1976157"/>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20" name="Group 19"/>
            <xdr:cNvGrpSpPr/>
          </xdr:nvGrpSpPr>
          <xdr:grpSpPr>
            <a:xfrm>
              <a:off x="2286000" y="2196352"/>
              <a:ext cx="1924050" cy="463161"/>
              <a:chOff x="2371725" y="2148727"/>
              <a:chExt cx="1924050" cy="463161"/>
            </a:xfrm>
          </xdr:grpSpPr>
          <xdr:sp macro="" textlink="">
            <xdr:nvSpPr>
              <xdr:cNvPr id="21" name="Rounded Rectangle 20"/>
              <xdr:cNvSpPr/>
            </xdr:nvSpPr>
            <xdr:spPr>
              <a:xfrm>
                <a:off x="2847975" y="2253501"/>
                <a:ext cx="1447800" cy="358387"/>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400" b="1">
                    <a:solidFill>
                      <a:sysClr val="windowText" lastClr="000000"/>
                    </a:solidFill>
                    <a:latin typeface="Arial Black" pitchFamily="34" charset="0"/>
                  </a:rPr>
                  <a:t>ANALYTICS</a:t>
                </a:r>
                <a:endParaRPr lang="en-US" sz="1000" b="1">
                  <a:solidFill>
                    <a:sysClr val="windowText" lastClr="000000"/>
                  </a:solidFill>
                  <a:latin typeface="Arial Black" pitchFamily="34" charset="0"/>
                </a:endParaRPr>
              </a:p>
            </xdr:txBody>
          </xdr:sp>
          <xdr:pic>
            <xdr:nvPicPr>
              <xdr:cNvPr id="22" name="Picture 21"/>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foregroundMark x1="14080" y1="84375" x2="13506" y2="55966"/>
                            <a14:foregroundMark x1="13506" y1="55398" x2="26437" y2="55682"/>
                            <a14:foregroundMark x1="30460" y1="42614" x2="43391" y2="41761"/>
                            <a14:foregroundMark x1="63793" y1="34091" x2="75000" y2="33807"/>
                            <a14:foregroundMark x1="11494" y1="87500" x2="85345" y2="87500"/>
                            <a14:backgroundMark x1="14943" y1="5966" x2="87644" y2="4545"/>
                          </a14:backgroundRemoval>
                        </a14:imgEffect>
                      </a14:imgLayer>
                    </a14:imgProps>
                  </a:ext>
                  <a:ext uri="{28A0092B-C50C-407E-A947-70E740481C1C}">
                    <a14:useLocalDpi xmlns:a14="http://schemas.microsoft.com/office/drawing/2010/main" val="0"/>
                  </a:ext>
                </a:extLst>
              </a:blip>
              <a:srcRect t="12950" r="16667"/>
              <a:stretch/>
            </xdr:blipFill>
            <xdr:spPr>
              <a:xfrm>
                <a:off x="2371725" y="2148727"/>
                <a:ext cx="523875" cy="428626"/>
              </a:xfrm>
              <a:prstGeom prst="rect">
                <a:avLst/>
              </a:prstGeom>
            </xdr:spPr>
          </xdr:pic>
        </xdr:grpSp>
        <xdr:graphicFrame macro="">
          <xdr:nvGraphicFramePr>
            <xdr:cNvPr id="23" name="Chart 22"/>
            <xdr:cNvGraphicFramePr>
              <a:graphicFrameLocks/>
            </xdr:cNvGraphicFramePr>
          </xdr:nvGraphicFramePr>
          <xdr:xfrm>
            <a:off x="8926600" y="2689412"/>
            <a:ext cx="2968010" cy="1966633"/>
          </xdr:xfrm>
          <a:graphic>
            <a:graphicData uri="http://schemas.openxmlformats.org/drawingml/2006/chart">
              <c:chart xmlns:c="http://schemas.openxmlformats.org/drawingml/2006/chart" xmlns:r="http://schemas.openxmlformats.org/officeDocument/2006/relationships" r:id="rId9"/>
            </a:graphicData>
          </a:graphic>
        </xdr:graphicFrame>
      </xdr:grpSp>
      <mc:AlternateContent xmlns:mc="http://schemas.openxmlformats.org/markup-compatibility/2006" xmlns:a14="http://schemas.microsoft.com/office/drawing/2010/main">
        <mc:Choice Requires="a14">
          <xdr:graphicFrame macro="">
            <xdr:nvGraphicFramePr>
              <xdr:cNvPr id="26" name="Month 3"/>
              <xdr:cNvGraphicFramePr/>
            </xdr:nvGraphicFramePr>
            <xdr:xfrm>
              <a:off x="2295524" y="180975"/>
              <a:ext cx="6969632" cy="93345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279388" y="909357"/>
                <a:ext cx="6705755"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Region 6"/>
              <xdr:cNvGraphicFramePr/>
            </xdr:nvGraphicFramePr>
            <xdr:xfrm>
              <a:off x="9378008" y="171450"/>
              <a:ext cx="2471460" cy="942975"/>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9089183" y="899832"/>
                <a:ext cx="242126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12700</xdr:colOff>
      <xdr:row>0</xdr:row>
      <xdr:rowOff>38100</xdr:rowOff>
    </xdr:from>
    <xdr:to>
      <xdr:col>19</xdr:col>
      <xdr:colOff>508000</xdr:colOff>
      <xdr:row>3</xdr:row>
      <xdr:rowOff>76200</xdr:rowOff>
    </xdr:to>
    <xdr:sp macro="" textlink="">
      <xdr:nvSpPr>
        <xdr:cNvPr id="24" name="Rectangle 23"/>
        <xdr:cNvSpPr/>
      </xdr:nvSpPr>
      <xdr:spPr>
        <a:xfrm>
          <a:off x="12700" y="228600"/>
          <a:ext cx="11992535" cy="419100"/>
        </a:xfrm>
        <a:prstGeom prst="rect">
          <a:avLst/>
        </a:prstGeom>
        <a:solidFill>
          <a:srgbClr val="FF0066">
            <a:alpha val="78039"/>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3200">
              <a:solidFill>
                <a:schemeClr val="lt1"/>
              </a:solidFill>
              <a:latin typeface="Arial Black" pitchFamily="34" charset="0"/>
              <a:ea typeface="+mn-ea"/>
              <a:cs typeface="+mn-cs"/>
            </a:rPr>
            <a:t>Salesperson</a:t>
          </a:r>
          <a:r>
            <a:rPr lang="en-US" sz="3200" b="1"/>
            <a:t> </a:t>
          </a:r>
          <a:r>
            <a:rPr lang="en-US" sz="3200">
              <a:solidFill>
                <a:schemeClr val="lt1"/>
              </a:solidFill>
              <a:latin typeface="Arial Black" pitchFamily="34" charset="0"/>
              <a:ea typeface="+mn-ea"/>
              <a:cs typeface="+mn-cs"/>
            </a:rPr>
            <a:t>Performance</a:t>
          </a:r>
          <a:r>
            <a:rPr lang="en-US" sz="3200" b="1"/>
            <a:t> </a:t>
          </a:r>
          <a:r>
            <a:rPr lang="en-US" sz="3200">
              <a:solidFill>
                <a:schemeClr val="lt1"/>
              </a:solidFill>
              <a:latin typeface="Arial Black" pitchFamily="34" charset="0"/>
              <a:ea typeface="+mn-ea"/>
              <a:cs typeface="+mn-cs"/>
            </a:rPr>
            <a:t>Leaderboard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xdr:row>
      <xdr:rowOff>82363</xdr:rowOff>
    </xdr:from>
    <xdr:to>
      <xdr:col>19</xdr:col>
      <xdr:colOff>542925</xdr:colOff>
      <xdr:row>28</xdr:row>
      <xdr:rowOff>167634</xdr:rowOff>
    </xdr:to>
    <xdr:grpSp>
      <xdr:nvGrpSpPr>
        <xdr:cNvPr id="13" name="Group 12"/>
        <xdr:cNvGrpSpPr/>
      </xdr:nvGrpSpPr>
      <xdr:grpSpPr>
        <a:xfrm>
          <a:off x="0" y="653863"/>
          <a:ext cx="12040160" cy="4847771"/>
          <a:chOff x="200026" y="399046"/>
          <a:chExt cx="10260105" cy="4229100"/>
        </a:xfrm>
      </xdr:grpSpPr>
      <xdr:sp macro="" textlink="">
        <xdr:nvSpPr>
          <xdr:cNvPr id="20" name="Rounded Rectangle 19"/>
          <xdr:cNvSpPr/>
        </xdr:nvSpPr>
        <xdr:spPr>
          <a:xfrm>
            <a:off x="200026" y="399046"/>
            <a:ext cx="10260105" cy="4229100"/>
          </a:xfrm>
          <a:prstGeom prst="rect">
            <a:avLst/>
          </a:prstGeom>
          <a:solidFill>
            <a:srgbClr val="FF0066">
              <a:alpha val="78039"/>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ounded Rectangle 3"/>
          <xdr:cNvSpPr/>
        </xdr:nvSpPr>
        <xdr:spPr>
          <a:xfrm>
            <a:off x="2000248" y="438152"/>
            <a:ext cx="8439562" cy="4170840"/>
          </a:xfrm>
          <a:custGeom>
            <a:avLst/>
            <a:gdLst>
              <a:gd name="connsiteX0" fmla="*/ 0 w 9903292"/>
              <a:gd name="connsiteY0" fmla="*/ 806158 h 4836851"/>
              <a:gd name="connsiteX1" fmla="*/ 806158 w 9903292"/>
              <a:gd name="connsiteY1" fmla="*/ 0 h 4836851"/>
              <a:gd name="connsiteX2" fmla="*/ 9097134 w 9903292"/>
              <a:gd name="connsiteY2" fmla="*/ 0 h 4836851"/>
              <a:gd name="connsiteX3" fmla="*/ 9903292 w 9903292"/>
              <a:gd name="connsiteY3" fmla="*/ 806158 h 4836851"/>
              <a:gd name="connsiteX4" fmla="*/ 9903292 w 9903292"/>
              <a:gd name="connsiteY4" fmla="*/ 4030693 h 4836851"/>
              <a:gd name="connsiteX5" fmla="*/ 9097134 w 9903292"/>
              <a:gd name="connsiteY5" fmla="*/ 4836851 h 4836851"/>
              <a:gd name="connsiteX6" fmla="*/ 806158 w 9903292"/>
              <a:gd name="connsiteY6" fmla="*/ 4836851 h 4836851"/>
              <a:gd name="connsiteX7" fmla="*/ 0 w 9903292"/>
              <a:gd name="connsiteY7" fmla="*/ 4030693 h 4836851"/>
              <a:gd name="connsiteX8" fmla="*/ 0 w 9903292"/>
              <a:gd name="connsiteY8" fmla="*/ 806158 h 4836851"/>
              <a:gd name="connsiteX0" fmla="*/ 22412 w 9903292"/>
              <a:gd name="connsiteY0" fmla="*/ 492393 h 4836851"/>
              <a:gd name="connsiteX1" fmla="*/ 806158 w 9903292"/>
              <a:gd name="connsiteY1" fmla="*/ 0 h 4836851"/>
              <a:gd name="connsiteX2" fmla="*/ 9097134 w 9903292"/>
              <a:gd name="connsiteY2" fmla="*/ 0 h 4836851"/>
              <a:gd name="connsiteX3" fmla="*/ 9903292 w 9903292"/>
              <a:gd name="connsiteY3" fmla="*/ 806158 h 4836851"/>
              <a:gd name="connsiteX4" fmla="*/ 9903292 w 9903292"/>
              <a:gd name="connsiteY4" fmla="*/ 4030693 h 4836851"/>
              <a:gd name="connsiteX5" fmla="*/ 9097134 w 9903292"/>
              <a:gd name="connsiteY5" fmla="*/ 4836851 h 4836851"/>
              <a:gd name="connsiteX6" fmla="*/ 806158 w 9903292"/>
              <a:gd name="connsiteY6" fmla="*/ 4836851 h 4836851"/>
              <a:gd name="connsiteX7" fmla="*/ 0 w 9903292"/>
              <a:gd name="connsiteY7" fmla="*/ 4030693 h 4836851"/>
              <a:gd name="connsiteX8" fmla="*/ 22412 w 9903292"/>
              <a:gd name="connsiteY8" fmla="*/ 492393 h 4836851"/>
              <a:gd name="connsiteX0" fmla="*/ 22412 w 9903292"/>
              <a:gd name="connsiteY0" fmla="*/ 492393 h 4836851"/>
              <a:gd name="connsiteX1" fmla="*/ 806158 w 9903292"/>
              <a:gd name="connsiteY1" fmla="*/ 0 h 4836851"/>
              <a:gd name="connsiteX2" fmla="*/ 9444517 w 9903292"/>
              <a:gd name="connsiteY2" fmla="*/ 0 h 4836851"/>
              <a:gd name="connsiteX3" fmla="*/ 9903292 w 9903292"/>
              <a:gd name="connsiteY3" fmla="*/ 806158 h 4836851"/>
              <a:gd name="connsiteX4" fmla="*/ 9903292 w 9903292"/>
              <a:gd name="connsiteY4" fmla="*/ 4030693 h 4836851"/>
              <a:gd name="connsiteX5" fmla="*/ 9097134 w 9903292"/>
              <a:gd name="connsiteY5" fmla="*/ 4836851 h 4836851"/>
              <a:gd name="connsiteX6" fmla="*/ 806158 w 9903292"/>
              <a:gd name="connsiteY6" fmla="*/ 4836851 h 4836851"/>
              <a:gd name="connsiteX7" fmla="*/ 0 w 9903292"/>
              <a:gd name="connsiteY7" fmla="*/ 4030693 h 4836851"/>
              <a:gd name="connsiteX8" fmla="*/ 22412 w 9903292"/>
              <a:gd name="connsiteY8" fmla="*/ 492393 h 4836851"/>
              <a:gd name="connsiteX0" fmla="*/ 22412 w 9903766"/>
              <a:gd name="connsiteY0" fmla="*/ 492393 h 4836851"/>
              <a:gd name="connsiteX1" fmla="*/ 806158 w 9903766"/>
              <a:gd name="connsiteY1" fmla="*/ 0 h 4836851"/>
              <a:gd name="connsiteX2" fmla="*/ 9444517 w 9903766"/>
              <a:gd name="connsiteY2" fmla="*/ 0 h 4836851"/>
              <a:gd name="connsiteX3" fmla="*/ 9903292 w 9903766"/>
              <a:gd name="connsiteY3" fmla="*/ 806158 h 4836851"/>
              <a:gd name="connsiteX4" fmla="*/ 9903292 w 9903766"/>
              <a:gd name="connsiteY4" fmla="*/ 4030693 h 4836851"/>
              <a:gd name="connsiteX5" fmla="*/ 9489340 w 9903766"/>
              <a:gd name="connsiteY5" fmla="*/ 4825645 h 4836851"/>
              <a:gd name="connsiteX6" fmla="*/ 806158 w 9903766"/>
              <a:gd name="connsiteY6" fmla="*/ 4836851 h 4836851"/>
              <a:gd name="connsiteX7" fmla="*/ 0 w 9903766"/>
              <a:gd name="connsiteY7" fmla="*/ 4030693 h 4836851"/>
              <a:gd name="connsiteX8" fmla="*/ 22412 w 9903766"/>
              <a:gd name="connsiteY8" fmla="*/ 492393 h 4836851"/>
              <a:gd name="connsiteX0" fmla="*/ 22412 w 9903766"/>
              <a:gd name="connsiteY0" fmla="*/ 492393 h 4836851"/>
              <a:gd name="connsiteX1" fmla="*/ 806158 w 9903766"/>
              <a:gd name="connsiteY1" fmla="*/ 0 h 4836851"/>
              <a:gd name="connsiteX2" fmla="*/ 9444517 w 9903766"/>
              <a:gd name="connsiteY2" fmla="*/ 0 h 4836851"/>
              <a:gd name="connsiteX3" fmla="*/ 9903292 w 9903766"/>
              <a:gd name="connsiteY3" fmla="*/ 806158 h 4836851"/>
              <a:gd name="connsiteX4" fmla="*/ 9903292 w 9903766"/>
              <a:gd name="connsiteY4" fmla="*/ 4030693 h 4836851"/>
              <a:gd name="connsiteX5" fmla="*/ 9489340 w 9903766"/>
              <a:gd name="connsiteY5" fmla="*/ 4825645 h 4836851"/>
              <a:gd name="connsiteX6" fmla="*/ 806158 w 9903766"/>
              <a:gd name="connsiteY6" fmla="*/ 4836851 h 4836851"/>
              <a:gd name="connsiteX7" fmla="*/ 0 w 9903766"/>
              <a:gd name="connsiteY7" fmla="*/ 4366869 h 4836851"/>
              <a:gd name="connsiteX8" fmla="*/ 22412 w 9903766"/>
              <a:gd name="connsiteY8" fmla="*/ 492393 h 48368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903766" h="4836851">
                <a:moveTo>
                  <a:pt x="22412" y="492393"/>
                </a:moveTo>
                <a:cubicBezTo>
                  <a:pt x="22412" y="47164"/>
                  <a:pt x="360929" y="0"/>
                  <a:pt x="806158" y="0"/>
                </a:cubicBezTo>
                <a:lnTo>
                  <a:pt x="9444517" y="0"/>
                </a:lnTo>
                <a:cubicBezTo>
                  <a:pt x="9889746" y="0"/>
                  <a:pt x="9903292" y="360929"/>
                  <a:pt x="9903292" y="806158"/>
                </a:cubicBezTo>
                <a:lnTo>
                  <a:pt x="9903292" y="4030693"/>
                </a:lnTo>
                <a:cubicBezTo>
                  <a:pt x="9903292" y="4475922"/>
                  <a:pt x="9934569" y="4825645"/>
                  <a:pt x="9489340" y="4825645"/>
                </a:cubicBezTo>
                <a:lnTo>
                  <a:pt x="806158" y="4836851"/>
                </a:lnTo>
                <a:cubicBezTo>
                  <a:pt x="360929" y="4836851"/>
                  <a:pt x="0" y="4812098"/>
                  <a:pt x="0" y="4366869"/>
                </a:cubicBezTo>
                <a:cubicBezTo>
                  <a:pt x="0" y="3292024"/>
                  <a:pt x="22412" y="1567238"/>
                  <a:pt x="22412" y="492393"/>
                </a:cubicBezTo>
                <a:close/>
              </a:path>
            </a:pathLst>
          </a:cu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ounded Rectangle 21">
            <a:hlinkClick xmlns:r="http://schemas.openxmlformats.org/officeDocument/2006/relationships" r:id="rId1"/>
          </xdr:cNvPr>
          <xdr:cNvSpPr/>
        </xdr:nvSpPr>
        <xdr:spPr>
          <a:xfrm>
            <a:off x="628650" y="1066800"/>
            <a:ext cx="1147293" cy="437291"/>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latin typeface="Arial Black" pitchFamily="34" charset="0"/>
              </a:rPr>
              <a:t>DASHBOARD</a:t>
            </a:r>
          </a:p>
        </xdr:txBody>
      </xdr:sp>
      <xdr:sp macro="" textlink="">
        <xdr:nvSpPr>
          <xdr:cNvPr id="23" name="Rounded Rectangle 22">
            <a:hlinkClick xmlns:r="http://schemas.openxmlformats.org/officeDocument/2006/relationships" r:id="rId2"/>
          </xdr:cNvPr>
          <xdr:cNvSpPr/>
        </xdr:nvSpPr>
        <xdr:spPr>
          <a:xfrm>
            <a:off x="600075" y="1847848"/>
            <a:ext cx="1144459" cy="440936"/>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latin typeface="Arial Black" pitchFamily="34" charset="0"/>
                <a:ea typeface="+mn-ea"/>
                <a:cs typeface="+mn-cs"/>
              </a:rPr>
              <a:t>PRODUCT</a:t>
            </a:r>
          </a:p>
        </xdr:txBody>
      </xdr:sp>
      <xdr:sp macro="" textlink="">
        <xdr:nvSpPr>
          <xdr:cNvPr id="24" name="Rounded Rectangle 23">
            <a:hlinkClick xmlns:r="http://schemas.openxmlformats.org/officeDocument/2006/relationships" r:id="rId3"/>
          </xdr:cNvPr>
          <xdr:cNvSpPr/>
        </xdr:nvSpPr>
        <xdr:spPr>
          <a:xfrm>
            <a:off x="581025" y="2609850"/>
            <a:ext cx="1144459" cy="436822"/>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latin typeface="Arial Black" pitchFamily="34" charset="0"/>
                <a:ea typeface="+mn-ea"/>
                <a:cs typeface="+mn-cs"/>
              </a:rPr>
              <a:t>SALESPERSON</a:t>
            </a:r>
            <a:endParaRPr lang="en-US" sz="900" b="1">
              <a:solidFill>
                <a:schemeClr val="tx1"/>
              </a:solidFill>
              <a:latin typeface="Arial Black" pitchFamily="34" charset="0"/>
              <a:ea typeface="+mn-ea"/>
              <a:cs typeface="+mn-cs"/>
            </a:endParaRPr>
          </a:p>
        </xdr:txBody>
      </xdr:sp>
      <xdr:sp macro="" textlink="">
        <xdr:nvSpPr>
          <xdr:cNvPr id="25" name="Rounded Rectangle 24">
            <a:hlinkClick xmlns:r="http://schemas.openxmlformats.org/officeDocument/2006/relationships" r:id="rId4"/>
          </xdr:cNvPr>
          <xdr:cNvSpPr/>
        </xdr:nvSpPr>
        <xdr:spPr>
          <a:xfrm>
            <a:off x="590550" y="3448048"/>
            <a:ext cx="1144459" cy="440936"/>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FF0066"/>
                </a:solidFill>
                <a:latin typeface="Arial Black" pitchFamily="34" charset="0"/>
                <a:ea typeface="+mn-ea"/>
                <a:cs typeface="+mn-cs"/>
              </a:rPr>
              <a:t>CONCLUSION</a:t>
            </a:r>
            <a:endParaRPr lang="en-US" sz="900" b="1">
              <a:solidFill>
                <a:srgbClr val="FF0066"/>
              </a:solidFill>
              <a:latin typeface="Arial Black" pitchFamily="34" charset="0"/>
              <a:ea typeface="+mn-ea"/>
              <a:cs typeface="+mn-cs"/>
            </a:endParaRPr>
          </a:p>
        </xdr:txBody>
      </xdr:sp>
    </xdr:grpSp>
    <xdr:clientData/>
  </xdr:twoCellAnchor>
  <xdr:twoCellAnchor>
    <xdr:from>
      <xdr:col>0</xdr:col>
      <xdr:colOff>0</xdr:colOff>
      <xdr:row>0</xdr:row>
      <xdr:rowOff>44824</xdr:rowOff>
    </xdr:from>
    <xdr:to>
      <xdr:col>19</xdr:col>
      <xdr:colOff>495300</xdr:colOff>
      <xdr:row>3</xdr:row>
      <xdr:rowOff>57524</xdr:rowOff>
    </xdr:to>
    <xdr:sp macro="" textlink="">
      <xdr:nvSpPr>
        <xdr:cNvPr id="11" name="Rectangle 10"/>
        <xdr:cNvSpPr/>
      </xdr:nvSpPr>
      <xdr:spPr>
        <a:xfrm>
          <a:off x="0" y="44824"/>
          <a:ext cx="11992535" cy="584200"/>
        </a:xfrm>
        <a:prstGeom prst="rect">
          <a:avLst/>
        </a:prstGeom>
        <a:solidFill>
          <a:srgbClr val="FF0066">
            <a:alpha val="78039"/>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3200">
              <a:solidFill>
                <a:schemeClr val="lt1"/>
              </a:solidFill>
              <a:latin typeface="Arial Black" pitchFamily="34" charset="0"/>
              <a:ea typeface="+mn-ea"/>
              <a:cs typeface="+mn-cs"/>
            </a:rPr>
            <a:t>Final</a:t>
          </a:r>
          <a:r>
            <a:rPr lang="en-US" sz="3200"/>
            <a:t> </a:t>
          </a:r>
          <a:r>
            <a:rPr lang="en-US" sz="3200">
              <a:solidFill>
                <a:schemeClr val="lt1"/>
              </a:solidFill>
              <a:latin typeface="Arial Black" pitchFamily="34" charset="0"/>
              <a:ea typeface="+mn-ea"/>
              <a:cs typeface="+mn-cs"/>
            </a:rPr>
            <a:t>Insights</a:t>
          </a:r>
          <a:r>
            <a:rPr lang="en-US" sz="3200"/>
            <a:t> &amp; </a:t>
          </a:r>
          <a:r>
            <a:rPr lang="en-US" sz="3200">
              <a:solidFill>
                <a:schemeClr val="lt1"/>
              </a:solidFill>
              <a:latin typeface="Arial Black" pitchFamily="34" charset="0"/>
              <a:ea typeface="+mn-ea"/>
              <a:cs typeface="+mn-cs"/>
            </a:rPr>
            <a:t>Conclusions</a:t>
          </a:r>
        </a:p>
      </xdr:txBody>
    </xdr:sp>
    <xdr:clientData/>
  </xdr:twoCellAnchor>
  <xdr:twoCellAnchor>
    <xdr:from>
      <xdr:col>4</xdr:col>
      <xdr:colOff>50800</xdr:colOff>
      <xdr:row>4</xdr:row>
      <xdr:rowOff>177800</xdr:rowOff>
    </xdr:from>
    <xdr:to>
      <xdr:col>18</xdr:col>
      <xdr:colOff>495300</xdr:colOff>
      <xdr:row>27</xdr:row>
      <xdr:rowOff>145676</xdr:rowOff>
    </xdr:to>
    <xdr:sp macro="" textlink="">
      <xdr:nvSpPr>
        <xdr:cNvPr id="2" name="TextBox 1"/>
        <xdr:cNvSpPr txBox="1"/>
      </xdr:nvSpPr>
      <xdr:spPr>
        <a:xfrm>
          <a:off x="2471271" y="939800"/>
          <a:ext cx="8916147" cy="4349376"/>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200" b="1">
              <a:solidFill>
                <a:srgbClr val="FF0066"/>
              </a:solidFill>
            </a:rPr>
            <a:t>-</a:t>
          </a:r>
          <a:r>
            <a:rPr lang="en-US" sz="1800" b="1"/>
            <a:t> Overall Sales Performance:</a:t>
          </a:r>
          <a:r>
            <a:rPr lang="en-US" sz="1800"/>
            <a:t> The business generated total revenue of </a:t>
          </a:r>
          <a:r>
            <a:rPr lang="en-US" sz="1800" b="1"/>
            <a:t>₹34,49,450</a:t>
          </a:r>
          <a:r>
            <a:rPr lang="en-US" sz="1800"/>
            <a:t> with </a:t>
          </a:r>
          <a:r>
            <a:rPr lang="en-US" sz="1800" b="1"/>
            <a:t>1,634 units</a:t>
          </a:r>
          <a:r>
            <a:rPr lang="en-US" sz="1800"/>
            <a:t> sold across all regions.</a:t>
          </a:r>
        </a:p>
        <a:p>
          <a:pPr algn="l"/>
          <a:endParaRPr lang="en-US" sz="1800"/>
        </a:p>
        <a:p>
          <a:pPr algn="l"/>
          <a:r>
            <a:rPr lang="en-US" sz="3200" b="1">
              <a:solidFill>
                <a:srgbClr val="FF0066"/>
              </a:solidFill>
            </a:rPr>
            <a:t>- </a:t>
          </a:r>
          <a:r>
            <a:rPr lang="en-US" sz="1800" b="1"/>
            <a:t>Top Performing Products:</a:t>
          </a:r>
          <a:r>
            <a:rPr lang="en-US" sz="1800"/>
            <a:t> </a:t>
          </a:r>
          <a:r>
            <a:rPr lang="en-US" sz="1800" b="1"/>
            <a:t>Mouse</a:t>
          </a:r>
          <a:r>
            <a:rPr lang="en-US" sz="1800"/>
            <a:t> and </a:t>
          </a:r>
          <a:r>
            <a:rPr lang="en-US" sz="1800" b="1"/>
            <a:t>Speaker</a:t>
          </a:r>
          <a:r>
            <a:rPr lang="en-US" sz="1800"/>
            <a:t> are driving the most volume.</a:t>
          </a:r>
        </a:p>
        <a:p>
          <a:pPr algn="l"/>
          <a:endParaRPr lang="en-US" sz="1800"/>
        </a:p>
        <a:p>
          <a:pPr algn="l"/>
          <a:r>
            <a:rPr lang="en-US" sz="3200" b="1">
              <a:solidFill>
                <a:srgbClr val="FF0066"/>
              </a:solidFill>
            </a:rPr>
            <a:t>- </a:t>
          </a:r>
          <a:r>
            <a:rPr lang="en-US" sz="1800" b="1"/>
            <a:t>Underperforming Segments:</a:t>
          </a:r>
          <a:r>
            <a:rPr lang="en-US" sz="1800"/>
            <a:t> </a:t>
          </a:r>
          <a:r>
            <a:rPr lang="en-US" sz="1800" b="1"/>
            <a:t>Printer</a:t>
          </a:r>
          <a:r>
            <a:rPr lang="en-US" sz="1800"/>
            <a:t> and </a:t>
          </a:r>
          <a:r>
            <a:rPr lang="en-US" sz="1800" b="1"/>
            <a:t>Scanner</a:t>
          </a:r>
          <a:r>
            <a:rPr lang="en-US" sz="1800"/>
            <a:t> are lagging behind.</a:t>
          </a:r>
        </a:p>
        <a:p>
          <a:pPr algn="l"/>
          <a:endParaRPr lang="en-US" sz="1800"/>
        </a:p>
        <a:p>
          <a:pPr algn="l"/>
          <a:r>
            <a:rPr lang="en-US" sz="3200" b="1">
              <a:solidFill>
                <a:srgbClr val="FF0066"/>
              </a:solidFill>
            </a:rPr>
            <a:t>- </a:t>
          </a:r>
          <a:r>
            <a:rPr lang="en-US" sz="1800" b="1"/>
            <a:t>Salesforce Excellence:</a:t>
          </a:r>
          <a:r>
            <a:rPr lang="en-US" sz="1800"/>
            <a:t> </a:t>
          </a:r>
          <a:r>
            <a:rPr lang="en-US" sz="1800" b="1"/>
            <a:t>Ravi, Simran, and Vikas</a:t>
          </a:r>
          <a:r>
            <a:rPr lang="en-US" sz="1800"/>
            <a:t> are the top-performing salespersons.</a:t>
          </a:r>
        </a:p>
        <a:p>
          <a:pPr algn="l"/>
          <a:endParaRPr lang="en-US" sz="1800"/>
        </a:p>
        <a:p>
          <a:pPr algn="l"/>
          <a:r>
            <a:rPr lang="en-US" sz="3200" b="1">
              <a:solidFill>
                <a:srgbClr val="FF0066"/>
              </a:solidFill>
            </a:rPr>
            <a:t>- </a:t>
          </a:r>
          <a:r>
            <a:rPr lang="en-US" sz="1800" b="1"/>
            <a:t>Strategic Recommendation:</a:t>
          </a:r>
          <a:r>
            <a:rPr lang="en-US" sz="1800"/>
            <a:t> Focus inventory optimization on high-demand items (Mice/Speakers) and implement sales training or incentive programs modeled after top performers to boost lower-tier sales.</a:t>
          </a:r>
        </a:p>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209551</xdr:colOff>
      <xdr:row>0</xdr:row>
      <xdr:rowOff>66676</xdr:rowOff>
    </xdr:from>
    <xdr:to>
      <xdr:col>20</xdr:col>
      <xdr:colOff>127646</xdr:colOff>
      <xdr:row>4</xdr:row>
      <xdr:rowOff>66676</xdr:rowOff>
    </xdr:to>
    <mc:AlternateContent xmlns:mc="http://schemas.openxmlformats.org/markup-compatibility/2006" xmlns:a14="http://schemas.microsoft.com/office/drawing/2010/main">
      <mc:Choice Requires="a14">
        <xdr:graphicFrame macro="">
          <xdr:nvGraphicFramePr>
            <xdr:cNvPr id="4"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620251" y="66676"/>
              <a:ext cx="4899670"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123824</xdr:colOff>
      <xdr:row>13</xdr:row>
      <xdr:rowOff>171450</xdr:rowOff>
    </xdr:from>
    <xdr:to>
      <xdr:col>20</xdr:col>
      <xdr:colOff>35914</xdr:colOff>
      <xdr:row>18</xdr:row>
      <xdr:rowOff>161925</xdr:rowOff>
    </xdr:to>
    <mc:AlternateContent xmlns:mc="http://schemas.openxmlformats.org/markup-compatibility/2006" xmlns:a14="http://schemas.microsoft.com/office/drawing/2010/main">
      <mc:Choice Requires="a14">
        <xdr:graphicFrame macro="">
          <xdr:nvGraphicFramePr>
            <xdr:cNvPr id="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001499" y="2266950"/>
              <a:ext cx="1712315"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85726</xdr:colOff>
      <xdr:row>0</xdr:row>
      <xdr:rowOff>85726</xdr:rowOff>
    </xdr:from>
    <xdr:to>
      <xdr:col>4</xdr:col>
      <xdr:colOff>1209675</xdr:colOff>
      <xdr:row>5</xdr:row>
      <xdr:rowOff>66676</xdr:rowOff>
    </xdr:to>
    <mc:AlternateContent xmlns:mc="http://schemas.openxmlformats.org/markup-compatibility/2006" xmlns:a14="http://schemas.microsoft.com/office/drawing/2010/main">
      <mc:Choice Requires="a14">
        <xdr:graphicFrame macro="">
          <xdr:nvGraphicFramePr>
            <xdr:cNvPr id="6"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726" y="85726"/>
              <a:ext cx="5762624"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27</xdr:col>
      <xdr:colOff>133352</xdr:colOff>
      <xdr:row>6</xdr:row>
      <xdr:rowOff>19050</xdr:rowOff>
    </xdr:from>
    <xdr:to>
      <xdr:col>28</xdr:col>
      <xdr:colOff>152401</xdr:colOff>
      <xdr:row>9</xdr:row>
      <xdr:rowOff>38100</xdr:rowOff>
    </xdr:to>
    <xdr:sp macro="" textlink="$Y$7">
      <xdr:nvSpPr>
        <xdr:cNvPr id="2" name="Rectangle 1"/>
        <xdr:cNvSpPr/>
      </xdr:nvSpPr>
      <xdr:spPr>
        <a:xfrm>
          <a:off x="23231477" y="1162050"/>
          <a:ext cx="733424" cy="4000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8AF959B-926C-436A-9DB0-46D6A51F9B66}" type="TxLink">
            <a:rPr lang="en-US" sz="1100">
              <a:solidFill>
                <a:sysClr val="windowText" lastClr="000000"/>
              </a:solidFill>
            </a:rPr>
            <a:pPr algn="l"/>
            <a:t>3449450</a:t>
          </a:fld>
          <a:endParaRPr lang="en-US" sz="1100">
            <a:solidFill>
              <a:sysClr val="windowText" lastClr="000000"/>
            </a:solidFill>
          </a:endParaRPr>
        </a:p>
      </xdr:txBody>
    </xdr:sp>
    <xdr:clientData/>
  </xdr:twoCellAnchor>
  <xdr:twoCellAnchor>
    <xdr:from>
      <xdr:col>27</xdr:col>
      <xdr:colOff>285750</xdr:colOff>
      <xdr:row>11</xdr:row>
      <xdr:rowOff>9525</xdr:rowOff>
    </xdr:from>
    <xdr:to>
      <xdr:col>28</xdr:col>
      <xdr:colOff>114300</xdr:colOff>
      <xdr:row>13</xdr:row>
      <xdr:rowOff>28575</xdr:rowOff>
    </xdr:to>
    <xdr:sp macro="" textlink="$Y$12">
      <xdr:nvSpPr>
        <xdr:cNvPr id="7" name="Rectangle 6"/>
        <xdr:cNvSpPr/>
      </xdr:nvSpPr>
      <xdr:spPr>
        <a:xfrm>
          <a:off x="23383875" y="1914525"/>
          <a:ext cx="542925" cy="4000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7CAD2D8-DE02-47E7-ACBF-D96E352BA46E}" type="TxLink">
            <a:rPr lang="en-US" sz="1100">
              <a:solidFill>
                <a:sysClr val="windowText" lastClr="000000"/>
              </a:solidFill>
            </a:rPr>
            <a:pPr algn="l"/>
            <a:t>1634</a:t>
          </a:fld>
          <a:endParaRPr lang="en-US" sz="1100">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65.067130555559" createdVersion="4" refreshedVersion="4" minRefreshableVersion="3" recordCount="80">
  <cacheSource type="worksheet">
    <worksheetSource name="Table1"/>
  </cacheSource>
  <cacheFields count="9">
    <cacheField name="Order ID" numFmtId="0">
      <sharedItems/>
    </cacheField>
    <cacheField name="Date" numFmtId="0">
      <sharedItems/>
    </cacheField>
    <cacheField name="Month" numFmtId="0">
      <sharedItems count="12">
        <s v="Jan"/>
        <s v="Feb"/>
        <s v="Nov"/>
        <s v="Mar"/>
        <s v="Aug"/>
        <s v="Jul"/>
        <s v="May"/>
        <s v="Sep"/>
        <s v="Jun"/>
        <s v="Oct"/>
        <s v="Apr"/>
        <s v="Dec"/>
      </sharedItems>
    </cacheField>
    <cacheField name="Region" numFmtId="0">
      <sharedItems count="4">
        <s v="South"/>
        <s v="East"/>
        <s v="North"/>
        <s v="West"/>
      </sharedItems>
    </cacheField>
    <cacheField name="Product" numFmtId="0">
      <sharedItems count="6">
        <s v="Monitor"/>
        <s v="Scanner"/>
        <s v="Speaker"/>
        <s v="Mouse"/>
        <s v="Printer"/>
        <s v="Keyboard"/>
      </sharedItems>
    </cacheField>
    <cacheField name="Salesperson" numFmtId="0">
      <sharedItems count="8">
        <s v="Karan"/>
        <s v="Simran"/>
        <s v="Amit"/>
        <s v="Vikas"/>
        <s v="Ravi"/>
        <s v="Pooja"/>
        <s v="Ajay"/>
        <s v="Neha"/>
      </sharedItems>
    </cacheField>
    <cacheField name="Qty" numFmtId="0">
      <sharedItems containsSemiMixedTypes="0" containsString="0" containsNumber="1" containsInteger="1" minValue="1" maxValue="35"/>
    </cacheField>
    <cacheField name="Unit Price" numFmtId="0">
      <sharedItems containsSemiMixedTypes="0" containsString="0" containsNumber="1" containsInteger="1" minValue="1" maxValue="3106"/>
    </cacheField>
    <cacheField name="Total Sales" numFmtId="0">
      <sharedItems containsSemiMixedTypes="0" containsString="0" containsNumber="1" containsInteger="1" minValue="1" maxValue="10493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0">
  <r>
    <s v="ORD0001"/>
    <s v="13-Jan-2021"/>
    <x v="0"/>
    <x v="0"/>
    <x v="0"/>
    <x v="0"/>
    <n v="25"/>
    <n v="1428"/>
    <n v="35700"/>
  </r>
  <r>
    <s v="ORD0002"/>
    <s v="22-Feb-2021"/>
    <x v="1"/>
    <x v="1"/>
    <x v="1"/>
    <x v="1"/>
    <n v="9"/>
    <n v="2708"/>
    <n v="24372"/>
  </r>
  <r>
    <s v="ORD0003"/>
    <s v="17-Feb-2021"/>
    <x v="1"/>
    <x v="2"/>
    <x v="0"/>
    <x v="2"/>
    <n v="6"/>
    <n v="1261"/>
    <n v="7566"/>
  </r>
  <r>
    <s v="ORD0004"/>
    <s v="29-Nov-2021"/>
    <x v="2"/>
    <x v="3"/>
    <x v="0"/>
    <x v="3"/>
    <n v="22"/>
    <n v="1607"/>
    <n v="35354"/>
  </r>
  <r>
    <s v="ORD0005"/>
    <s v="04-Jan-2021"/>
    <x v="0"/>
    <x v="2"/>
    <x v="2"/>
    <x v="1"/>
    <n v="23"/>
    <n v="1769"/>
    <n v="40687"/>
  </r>
  <r>
    <s v="ORD0006"/>
    <s v="21-Mar-2021"/>
    <x v="3"/>
    <x v="2"/>
    <x v="3"/>
    <x v="4"/>
    <n v="15"/>
    <n v="1769"/>
    <n v="26535"/>
  </r>
  <r>
    <s v="ORD0007"/>
    <s v="19-Feb-2021"/>
    <x v="1"/>
    <x v="0"/>
    <x v="3"/>
    <x v="5"/>
    <n v="7"/>
    <n v="1978"/>
    <n v="13846"/>
  </r>
  <r>
    <s v="ORD0008"/>
    <s v="24-Aug-2021"/>
    <x v="4"/>
    <x v="1"/>
    <x v="4"/>
    <x v="4"/>
    <n v="30"/>
    <n v="1288"/>
    <n v="38640"/>
  </r>
  <r>
    <s v="ORD0009"/>
    <s v="18-Nov-2021"/>
    <x v="2"/>
    <x v="0"/>
    <x v="1"/>
    <x v="0"/>
    <n v="22"/>
    <n v="1800"/>
    <n v="39600"/>
  </r>
  <r>
    <s v="ORD0010"/>
    <s v="24-Jan-2021"/>
    <x v="0"/>
    <x v="2"/>
    <x v="3"/>
    <x v="4"/>
    <n v="27"/>
    <n v="1342"/>
    <n v="36234"/>
  </r>
  <r>
    <s v="ORD0011"/>
    <s v="21-Feb-2021"/>
    <x v="1"/>
    <x v="3"/>
    <x v="3"/>
    <x v="3"/>
    <n v="32"/>
    <n v="1676"/>
    <n v="53632"/>
  </r>
  <r>
    <s v="ORD0012"/>
    <s v="06-Jul-2021"/>
    <x v="5"/>
    <x v="2"/>
    <x v="3"/>
    <x v="6"/>
    <n v="25"/>
    <n v="2908"/>
    <n v="72700"/>
  </r>
  <r>
    <s v="ORD0013"/>
    <s v="17-May-2021"/>
    <x v="6"/>
    <x v="1"/>
    <x v="1"/>
    <x v="7"/>
    <n v="11"/>
    <n v="2572"/>
    <n v="28292"/>
  </r>
  <r>
    <s v="ORD0014"/>
    <s v="06-May-2021"/>
    <x v="6"/>
    <x v="2"/>
    <x v="4"/>
    <x v="1"/>
    <n v="22"/>
    <n v="2693"/>
    <n v="59246"/>
  </r>
  <r>
    <s v="ORD0015"/>
    <s v="24-Nov-2021"/>
    <x v="2"/>
    <x v="2"/>
    <x v="2"/>
    <x v="6"/>
    <n v="13"/>
    <n v="3095"/>
    <n v="40235"/>
  </r>
  <r>
    <s v="ORD0016"/>
    <s v="29-Jan-2021"/>
    <x v="0"/>
    <x v="2"/>
    <x v="5"/>
    <x v="6"/>
    <n v="31"/>
    <n v="2773"/>
    <n v="85963"/>
  </r>
  <r>
    <s v="ORD0017"/>
    <s v="03-Feb-2021"/>
    <x v="1"/>
    <x v="2"/>
    <x v="1"/>
    <x v="6"/>
    <n v="17"/>
    <n v="1748"/>
    <n v="29716"/>
  </r>
  <r>
    <s v="ORD0018"/>
    <s v="13-Sep-2021"/>
    <x v="7"/>
    <x v="3"/>
    <x v="2"/>
    <x v="3"/>
    <n v="11"/>
    <n v="2542"/>
    <n v="27962"/>
  </r>
  <r>
    <s v="ORD0019"/>
    <s v="13-Mar-2021"/>
    <x v="3"/>
    <x v="2"/>
    <x v="2"/>
    <x v="5"/>
    <n v="9"/>
    <n v="1742"/>
    <n v="15678"/>
  </r>
  <r>
    <s v="ORD0020"/>
    <s v="08-Aug-2021"/>
    <x v="4"/>
    <x v="3"/>
    <x v="3"/>
    <x v="0"/>
    <n v="28"/>
    <n v="2397"/>
    <n v="67116"/>
  </r>
  <r>
    <s v="ORD0021"/>
    <s v="10-Sep-2021"/>
    <x v="7"/>
    <x v="1"/>
    <x v="5"/>
    <x v="4"/>
    <n v="9"/>
    <n v="2243"/>
    <n v="20187"/>
  </r>
  <r>
    <s v="ORD0022"/>
    <s v="23-Mar-2021"/>
    <x v="3"/>
    <x v="3"/>
    <x v="1"/>
    <x v="4"/>
    <n v="9"/>
    <n v="2485"/>
    <n v="22365"/>
  </r>
  <r>
    <s v="ORD0023"/>
    <s v="02-Nov-2021"/>
    <x v="2"/>
    <x v="3"/>
    <x v="1"/>
    <x v="5"/>
    <n v="17"/>
    <n v="1981"/>
    <n v="33677"/>
  </r>
  <r>
    <s v="ORD0024"/>
    <s v="06-Jan-2021"/>
    <x v="0"/>
    <x v="1"/>
    <x v="2"/>
    <x v="5"/>
    <n v="22"/>
    <n v="2962"/>
    <n v="65164"/>
  </r>
  <r>
    <s v="ORD0025"/>
    <s v="24-Jun-2021"/>
    <x v="8"/>
    <x v="1"/>
    <x v="3"/>
    <x v="1"/>
    <n v="29"/>
    <n v="2512"/>
    <n v="72848"/>
  </r>
  <r>
    <s v="ORD0026"/>
    <s v="02-Jan-2021"/>
    <x v="0"/>
    <x v="0"/>
    <x v="1"/>
    <x v="7"/>
    <n v="10"/>
    <n v="2129"/>
    <n v="21290"/>
  </r>
  <r>
    <s v="ORD0027"/>
    <s v="24-Feb-2021"/>
    <x v="1"/>
    <x v="0"/>
    <x v="2"/>
    <x v="0"/>
    <n v="21"/>
    <n v="3069"/>
    <n v="64449"/>
  </r>
  <r>
    <s v="ORD0028"/>
    <s v="24-Mar-2021"/>
    <x v="3"/>
    <x v="1"/>
    <x v="1"/>
    <x v="6"/>
    <n v="9"/>
    <n v="1965"/>
    <n v="17685"/>
  </r>
  <r>
    <s v="ORD0029"/>
    <s v="27-Feb-2021"/>
    <x v="1"/>
    <x v="0"/>
    <x v="3"/>
    <x v="0"/>
    <n v="20"/>
    <n v="1239"/>
    <n v="24780"/>
  </r>
  <r>
    <s v="ORD0030"/>
    <s v="18-Oct-2021"/>
    <x v="9"/>
    <x v="1"/>
    <x v="5"/>
    <x v="3"/>
    <n v="6"/>
    <n v="1693"/>
    <n v="10158"/>
  </r>
  <r>
    <s v="ORD0031"/>
    <s v="30-Sep-2021"/>
    <x v="7"/>
    <x v="2"/>
    <x v="0"/>
    <x v="3"/>
    <n v="31"/>
    <n v="1341"/>
    <n v="41571"/>
  </r>
  <r>
    <s v="ORD0032"/>
    <s v="26-Mar-2021"/>
    <x v="3"/>
    <x v="0"/>
    <x v="1"/>
    <x v="1"/>
    <n v="35"/>
    <n v="2325"/>
    <n v="81375"/>
  </r>
  <r>
    <s v="ORD0033"/>
    <s v="04-Oct-2021"/>
    <x v="9"/>
    <x v="2"/>
    <x v="2"/>
    <x v="5"/>
    <n v="35"/>
    <n v="1633"/>
    <n v="57155"/>
  </r>
  <r>
    <s v="ORD0034"/>
    <s v="29-Nov-2021"/>
    <x v="2"/>
    <x v="0"/>
    <x v="4"/>
    <x v="3"/>
    <n v="17"/>
    <n v="2575"/>
    <n v="43775"/>
  </r>
  <r>
    <s v="ORD0035"/>
    <s v="26-Apr-2021"/>
    <x v="10"/>
    <x v="1"/>
    <x v="3"/>
    <x v="2"/>
    <n v="8"/>
    <n v="1707"/>
    <n v="13656"/>
  </r>
  <r>
    <s v="ORD0036"/>
    <s v="28-Apr-2021"/>
    <x v="10"/>
    <x v="2"/>
    <x v="5"/>
    <x v="4"/>
    <n v="23"/>
    <n v="2334"/>
    <n v="53682"/>
  </r>
  <r>
    <s v="ORD0037"/>
    <s v="31-Jan-2021"/>
    <x v="0"/>
    <x v="2"/>
    <x v="5"/>
    <x v="2"/>
    <n v="27"/>
    <n v="2492"/>
    <n v="67284"/>
  </r>
  <r>
    <s v="ORD0038"/>
    <s v="06-Feb-2021"/>
    <x v="1"/>
    <x v="2"/>
    <x v="3"/>
    <x v="3"/>
    <n v="32"/>
    <n v="1876"/>
    <n v="60032"/>
  </r>
  <r>
    <s v="ORD0039"/>
    <s v="09-Mar-2021"/>
    <x v="3"/>
    <x v="3"/>
    <x v="0"/>
    <x v="3"/>
    <n v="11"/>
    <n v="2304"/>
    <n v="25344"/>
  </r>
  <r>
    <s v="ORD0040"/>
    <s v="08-Apr-2021"/>
    <x v="10"/>
    <x v="1"/>
    <x v="5"/>
    <x v="1"/>
    <n v="30"/>
    <n v="2033"/>
    <n v="60990"/>
  </r>
  <r>
    <s v="ORD0041"/>
    <s v="30-Jul-2021"/>
    <x v="5"/>
    <x v="3"/>
    <x v="2"/>
    <x v="2"/>
    <n v="16"/>
    <n v="2067"/>
    <n v="33072"/>
  </r>
  <r>
    <s v="ORD0042"/>
    <s v="27-Nov-2021"/>
    <x v="2"/>
    <x v="1"/>
    <x v="5"/>
    <x v="1"/>
    <n v="26"/>
    <n v="2538"/>
    <n v="65988"/>
  </r>
  <r>
    <s v="ORD0043"/>
    <s v="25-Feb-2021"/>
    <x v="1"/>
    <x v="2"/>
    <x v="0"/>
    <x v="0"/>
    <n v="28"/>
    <n v="1894"/>
    <n v="53032"/>
  </r>
  <r>
    <s v="ORD0044"/>
    <s v="13-Mar-2021"/>
    <x v="3"/>
    <x v="3"/>
    <x v="0"/>
    <x v="5"/>
    <n v="22"/>
    <n v="2118"/>
    <n v="46596"/>
  </r>
  <r>
    <s v="ORD0045"/>
    <s v="08-Feb-2021"/>
    <x v="1"/>
    <x v="3"/>
    <x v="1"/>
    <x v="4"/>
    <n v="19"/>
    <n v="1711"/>
    <n v="32509"/>
  </r>
  <r>
    <s v="ORD0046"/>
    <s v="04-Oct-2021"/>
    <x v="9"/>
    <x v="1"/>
    <x v="5"/>
    <x v="0"/>
    <n v="6"/>
    <n v="2535"/>
    <n v="15210"/>
  </r>
  <r>
    <s v="ORD0047"/>
    <s v="06-Sep-2021"/>
    <x v="7"/>
    <x v="3"/>
    <x v="0"/>
    <x v="1"/>
    <n v="10"/>
    <n v="2032"/>
    <n v="20320"/>
  </r>
  <r>
    <s v="ORD0048"/>
    <s v="26-Mar-2021"/>
    <x v="3"/>
    <x v="3"/>
    <x v="5"/>
    <x v="1"/>
    <n v="33"/>
    <n v="1320"/>
    <n v="43560"/>
  </r>
  <r>
    <s v="ORD0049"/>
    <s v="21-Aug-2021"/>
    <x v="4"/>
    <x v="0"/>
    <x v="4"/>
    <x v="3"/>
    <n v="13"/>
    <n v="3097"/>
    <n v="40261"/>
  </r>
  <r>
    <s v="ORD0050"/>
    <s v="01-Jun-2021"/>
    <x v="8"/>
    <x v="2"/>
    <x v="5"/>
    <x v="2"/>
    <n v="9"/>
    <n v="1588"/>
    <n v="14292"/>
  </r>
  <r>
    <s v="ORD0051"/>
    <s v="30-Jan-2021"/>
    <x v="0"/>
    <x v="1"/>
    <x v="1"/>
    <x v="3"/>
    <n v="28"/>
    <n v="1842"/>
    <n v="51576"/>
  </r>
  <r>
    <s v="ORD0052"/>
    <s v="29-Sep-2021"/>
    <x v="7"/>
    <x v="2"/>
    <x v="5"/>
    <x v="4"/>
    <n v="21"/>
    <n v="3082"/>
    <n v="64722"/>
  </r>
  <r>
    <s v="ORD0053"/>
    <s v="05-Feb-2021"/>
    <x v="1"/>
    <x v="1"/>
    <x v="2"/>
    <x v="0"/>
    <n v="32"/>
    <n v="1580"/>
    <n v="50560"/>
  </r>
  <r>
    <s v="ORD0054"/>
    <s v="19-Oct-2021"/>
    <x v="9"/>
    <x v="2"/>
    <x v="1"/>
    <x v="2"/>
    <n v="17"/>
    <n v="1445"/>
    <n v="24565"/>
  </r>
  <r>
    <s v="ORD0055"/>
    <s v="03-Aug-2021"/>
    <x v="4"/>
    <x v="0"/>
    <x v="3"/>
    <x v="0"/>
    <n v="24"/>
    <n v="1367"/>
    <n v="32808"/>
  </r>
  <r>
    <s v="ORD0056"/>
    <s v="10-Jun-2021"/>
    <x v="8"/>
    <x v="2"/>
    <x v="3"/>
    <x v="1"/>
    <n v="26"/>
    <n v="2666"/>
    <n v="69316"/>
  </r>
  <r>
    <s v="ORD0057"/>
    <s v="27-Nov-2021"/>
    <x v="2"/>
    <x v="0"/>
    <x v="4"/>
    <x v="6"/>
    <n v="9"/>
    <n v="2575"/>
    <n v="23175"/>
  </r>
  <r>
    <s v="ORD0058"/>
    <s v="07-Feb-2021"/>
    <x v="1"/>
    <x v="1"/>
    <x v="4"/>
    <x v="4"/>
    <n v="34"/>
    <n v="2739"/>
    <n v="93126"/>
  </r>
  <r>
    <s v="ORD0059"/>
    <s v="20-Apr-2021"/>
    <x v="10"/>
    <x v="0"/>
    <x v="0"/>
    <x v="6"/>
    <n v="7"/>
    <n v="2301"/>
    <n v="16107"/>
  </r>
  <r>
    <s v="ORD0060"/>
    <s v="06-May-2021"/>
    <x v="6"/>
    <x v="0"/>
    <x v="3"/>
    <x v="7"/>
    <n v="33"/>
    <n v="1340"/>
    <n v="44220"/>
  </r>
  <r>
    <s v="ORD0061"/>
    <s v="06-Oct-2021"/>
    <x v="9"/>
    <x v="0"/>
    <x v="1"/>
    <x v="2"/>
    <n v="19"/>
    <n v="2907"/>
    <n v="55233"/>
  </r>
  <r>
    <s v="ORD0062"/>
    <s v="11-Oct-2021"/>
    <x v="9"/>
    <x v="0"/>
    <x v="2"/>
    <x v="4"/>
    <n v="26"/>
    <n v="2873"/>
    <n v="74698"/>
  </r>
  <r>
    <s v="ORD0063"/>
    <s v="10-Mar-2021"/>
    <x v="3"/>
    <x v="0"/>
    <x v="5"/>
    <x v="4"/>
    <n v="35"/>
    <n v="2998"/>
    <n v="104930"/>
  </r>
  <r>
    <s v="ORD0064"/>
    <s v="21-Mar-2021"/>
    <x v="3"/>
    <x v="0"/>
    <x v="3"/>
    <x v="0"/>
    <n v="28"/>
    <n v="2333"/>
    <n v="65324"/>
  </r>
  <r>
    <s v="ORD0065"/>
    <s v="15-Apr-2021"/>
    <x v="10"/>
    <x v="0"/>
    <x v="1"/>
    <x v="3"/>
    <n v="27"/>
    <n v="1902"/>
    <n v="51354"/>
  </r>
  <r>
    <s v="ORD0066"/>
    <s v="27-Jan-2021"/>
    <x v="0"/>
    <x v="1"/>
    <x v="2"/>
    <x v="1"/>
    <n v="13"/>
    <n v="3054"/>
    <n v="39702"/>
  </r>
  <r>
    <s v="ORD0067"/>
    <s v="23-Jan-2021"/>
    <x v="0"/>
    <x v="1"/>
    <x v="3"/>
    <x v="7"/>
    <n v="31"/>
    <n v="1766"/>
    <n v="54746"/>
  </r>
  <r>
    <s v="ORD0068"/>
    <s v="24-Mar-2021"/>
    <x v="3"/>
    <x v="3"/>
    <x v="1"/>
    <x v="1"/>
    <n v="25"/>
    <n v="1736"/>
    <n v="43400"/>
  </r>
  <r>
    <s v="ORD0069"/>
    <s v="27-Feb-2021"/>
    <x v="1"/>
    <x v="1"/>
    <x v="2"/>
    <x v="7"/>
    <n v="22"/>
    <n v="1219"/>
    <n v="26818"/>
  </r>
  <r>
    <s v="ORD0070"/>
    <s v="09-Jul-2021"/>
    <x v="5"/>
    <x v="2"/>
    <x v="4"/>
    <x v="7"/>
    <n v="22"/>
    <n v="1273"/>
    <n v="28006"/>
  </r>
  <r>
    <s v="ORD0071"/>
    <s v="06-Jul-2021"/>
    <x v="5"/>
    <x v="1"/>
    <x v="3"/>
    <x v="0"/>
    <n v="6"/>
    <n v="1831"/>
    <n v="10986"/>
  </r>
  <r>
    <s v="ORD0072"/>
    <s v="08-Dec-2021"/>
    <x v="11"/>
    <x v="1"/>
    <x v="3"/>
    <x v="1"/>
    <n v="26"/>
    <n v="1711"/>
    <n v="44486"/>
  </r>
  <r>
    <s v="ORD0073"/>
    <s v="21-Mar-2021"/>
    <x v="3"/>
    <x v="2"/>
    <x v="0"/>
    <x v="7"/>
    <n v="24"/>
    <n v="2734"/>
    <n v="65616"/>
  </r>
  <r>
    <s v="ORD0074"/>
    <s v="13-Jan-2021"/>
    <x v="0"/>
    <x v="2"/>
    <x v="2"/>
    <x v="6"/>
    <n v="33"/>
    <n v="2044"/>
    <n v="67452"/>
  </r>
  <r>
    <s v="ORD0075"/>
    <s v="30-Jul-2021"/>
    <x v="5"/>
    <x v="2"/>
    <x v="3"/>
    <x v="7"/>
    <n v="30"/>
    <n v="3106"/>
    <n v="93180"/>
  </r>
  <r>
    <s v="ORD0076"/>
    <s v="25-Feb-2021"/>
    <x v="1"/>
    <x v="3"/>
    <x v="5"/>
    <x v="3"/>
    <n v="30"/>
    <n v="2636"/>
    <n v="79080"/>
  </r>
  <r>
    <s v="ORD0077"/>
    <s v="24-Aug-2021"/>
    <x v="4"/>
    <x v="0"/>
    <x v="3"/>
    <x v="0"/>
    <n v="12"/>
    <n v="1608"/>
    <n v="19296"/>
  </r>
  <r>
    <s v="ORD0078"/>
    <s v="04-Dec-2021"/>
    <x v="11"/>
    <x v="2"/>
    <x v="4"/>
    <x v="6"/>
    <n v="12"/>
    <n v="1248"/>
    <n v="14976"/>
  </r>
  <r>
    <s v="ORD0079"/>
    <s v="05-Feb-2021"/>
    <x v="1"/>
    <x v="0"/>
    <x v="3"/>
    <x v="1"/>
    <n v="13"/>
    <n v="2970"/>
    <n v="38610"/>
  </r>
  <r>
    <s v="ORD0080"/>
    <s v="17-Dec-2021"/>
    <x v="11"/>
    <x v="0"/>
    <x v="5"/>
    <x v="4"/>
    <n v="1"/>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6">
  <location ref="A44:B51" firstHeaderRow="1" firstDataRow="1" firstDataCol="1"/>
  <pivotFields count="9">
    <pivotField showAll="0"/>
    <pivotField showAll="0"/>
    <pivotField showAll="0">
      <items count="13">
        <item x="0"/>
        <item x="1"/>
        <item x="3"/>
        <item x="10"/>
        <item x="6"/>
        <item x="8"/>
        <item x="5"/>
        <item x="4"/>
        <item x="7"/>
        <item x="9"/>
        <item x="2"/>
        <item x="11"/>
        <item t="default"/>
      </items>
    </pivotField>
    <pivotField showAll="0">
      <items count="5">
        <item x="1"/>
        <item x="2"/>
        <item x="0"/>
        <item x="3"/>
        <item t="default"/>
      </items>
    </pivotField>
    <pivotField axis="axisRow" showAll="0">
      <items count="7">
        <item x="5"/>
        <item x="0"/>
        <item x="3"/>
        <item x="4"/>
        <item x="1"/>
        <item x="2"/>
        <item t="default"/>
      </items>
    </pivotField>
    <pivotField showAll="0"/>
    <pivotField showAll="0"/>
    <pivotField showAll="0"/>
    <pivotField dataField="1" showAll="0" defaultSubtotal="0"/>
  </pivotFields>
  <rowFields count="1">
    <field x="4"/>
  </rowFields>
  <rowItems count="7">
    <i>
      <x/>
    </i>
    <i>
      <x v="1"/>
    </i>
    <i>
      <x v="2"/>
    </i>
    <i>
      <x v="3"/>
    </i>
    <i>
      <x v="4"/>
    </i>
    <i>
      <x v="5"/>
    </i>
    <i t="grand">
      <x/>
    </i>
  </rowItems>
  <colItems count="1">
    <i/>
  </colItems>
  <dataFields count="1">
    <dataField name="Sum of Total Sales" fld="8" baseField="0" baseItem="0"/>
  </dataFields>
  <chartFormats count="1">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7">
  <location ref="O29:P33" firstHeaderRow="1" firstDataRow="1" firstDataCol="1"/>
  <pivotFields count="9">
    <pivotField showAll="0"/>
    <pivotField showAll="0"/>
    <pivotField showAll="0">
      <items count="13">
        <item x="0"/>
        <item x="1"/>
        <item x="3"/>
        <item x="10"/>
        <item x="6"/>
        <item x="8"/>
        <item x="5"/>
        <item x="4"/>
        <item x="7"/>
        <item x="9"/>
        <item x="2"/>
        <item x="11"/>
        <item t="default"/>
      </items>
    </pivotField>
    <pivotField showAll="0">
      <items count="5">
        <item x="1"/>
        <item x="2"/>
        <item x="0"/>
        <item x="3"/>
        <item t="default"/>
      </items>
    </pivotField>
    <pivotField showAll="0">
      <items count="7">
        <item x="5"/>
        <item x="0"/>
        <item x="3"/>
        <item x="4"/>
        <item x="1"/>
        <item x="2"/>
        <item t="default"/>
      </items>
    </pivotField>
    <pivotField axis="axisRow" showAll="0" measureFilter="1">
      <items count="9">
        <item x="6"/>
        <item x="2"/>
        <item x="0"/>
        <item x="7"/>
        <item x="5"/>
        <item x="4"/>
        <item x="1"/>
        <item x="3"/>
        <item t="default"/>
      </items>
    </pivotField>
    <pivotField showAll="0"/>
    <pivotField showAll="0"/>
    <pivotField dataField="1" showAll="0" defaultSubtotal="0"/>
  </pivotFields>
  <rowFields count="1">
    <field x="5"/>
  </rowFields>
  <rowItems count="4">
    <i>
      <x v="1"/>
    </i>
    <i>
      <x v="3"/>
    </i>
    <i>
      <x v="4"/>
    </i>
    <i t="grand">
      <x/>
    </i>
  </rowItems>
  <colItems count="1">
    <i/>
  </colItems>
  <dataFields count="1">
    <dataField name="Sum of Total Sales" fld="8" baseField="0" baseItem="0"/>
  </dataFields>
  <chartFormats count="1">
    <chartFormat chart="2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6">
  <location ref="A26:B35" firstHeaderRow="1" firstDataRow="1" firstDataCol="1"/>
  <pivotFields count="9">
    <pivotField showAll="0"/>
    <pivotField showAll="0"/>
    <pivotField showAll="0">
      <items count="13">
        <item x="0"/>
        <item x="1"/>
        <item x="3"/>
        <item x="10"/>
        <item x="6"/>
        <item x="8"/>
        <item x="5"/>
        <item x="4"/>
        <item x="7"/>
        <item x="9"/>
        <item x="2"/>
        <item x="11"/>
        <item t="default"/>
      </items>
    </pivotField>
    <pivotField showAll="0">
      <items count="5">
        <item x="1"/>
        <item x="2"/>
        <item x="0"/>
        <item x="3"/>
        <item t="default"/>
      </items>
    </pivotField>
    <pivotField showAll="0">
      <items count="7">
        <item x="5"/>
        <item x="0"/>
        <item x="3"/>
        <item x="4"/>
        <item x="1"/>
        <item x="2"/>
        <item t="default"/>
      </items>
    </pivotField>
    <pivotField axis="axisRow" showAll="0">
      <items count="9">
        <item x="6"/>
        <item x="2"/>
        <item x="0"/>
        <item x="7"/>
        <item x="5"/>
        <item x="4"/>
        <item x="1"/>
        <item x="3"/>
        <item t="default"/>
      </items>
    </pivotField>
    <pivotField showAll="0"/>
    <pivotField showAll="0"/>
    <pivotField dataField="1" showAll="0" defaultSubtotal="0"/>
  </pivotFields>
  <rowFields count="1">
    <field x="5"/>
  </rowFields>
  <rowItems count="9">
    <i>
      <x/>
    </i>
    <i>
      <x v="1"/>
    </i>
    <i>
      <x v="2"/>
    </i>
    <i>
      <x v="3"/>
    </i>
    <i>
      <x v="4"/>
    </i>
    <i>
      <x v="5"/>
    </i>
    <i>
      <x v="6"/>
    </i>
    <i>
      <x v="7"/>
    </i>
    <i t="grand">
      <x/>
    </i>
  </rowItems>
  <colItems count="1">
    <i/>
  </colItems>
  <dataFields count="1">
    <dataField name="Sum of Total Sales" fld="8" baseField="0" baseItem="0"/>
  </dataFields>
  <chartFormats count="1">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7">
  <location ref="H29:I33" firstHeaderRow="1" firstDataRow="1" firstDataCol="1"/>
  <pivotFields count="9">
    <pivotField showAll="0"/>
    <pivotField showAll="0"/>
    <pivotField showAll="0">
      <items count="13">
        <item x="0"/>
        <item x="1"/>
        <item x="3"/>
        <item x="10"/>
        <item x="6"/>
        <item x="8"/>
        <item x="5"/>
        <item x="4"/>
        <item x="7"/>
        <item x="9"/>
        <item x="2"/>
        <item x="11"/>
        <item t="default"/>
      </items>
    </pivotField>
    <pivotField showAll="0">
      <items count="5">
        <item x="1"/>
        <item x="2"/>
        <item x="0"/>
        <item x="3"/>
        <item t="default"/>
      </items>
    </pivotField>
    <pivotField showAll="0">
      <items count="7">
        <item x="5"/>
        <item x="0"/>
        <item x="3"/>
        <item x="4"/>
        <item x="1"/>
        <item x="2"/>
        <item t="default"/>
      </items>
    </pivotField>
    <pivotField axis="axisRow" showAll="0" measureFilter="1">
      <items count="9">
        <item x="6"/>
        <item x="2"/>
        <item x="0"/>
        <item x="7"/>
        <item x="5"/>
        <item x="4"/>
        <item x="1"/>
        <item x="3"/>
        <item t="default"/>
      </items>
    </pivotField>
    <pivotField showAll="0"/>
    <pivotField showAll="0"/>
    <pivotField dataField="1" showAll="0" defaultSubtotal="0"/>
  </pivotFields>
  <rowFields count="1">
    <field x="5"/>
  </rowFields>
  <rowItems count="4">
    <i>
      <x v="5"/>
    </i>
    <i>
      <x v="6"/>
    </i>
    <i>
      <x v="7"/>
    </i>
    <i t="grand">
      <x/>
    </i>
  </rowItems>
  <colItems count="1">
    <i/>
  </colItems>
  <dataFields count="1">
    <dataField name="Sum of Total Sales" fld="8" baseField="0" baseItem="0"/>
  </dataFields>
  <chartFormats count="1">
    <chartFormat chart="2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2">
  <location ref="O12:P19" firstHeaderRow="1" firstDataRow="1" firstDataCol="1"/>
  <pivotFields count="9">
    <pivotField showAll="0"/>
    <pivotField showAll="0"/>
    <pivotField showAll="0">
      <items count="13">
        <item x="0"/>
        <item x="1"/>
        <item x="3"/>
        <item x="10"/>
        <item x="6"/>
        <item x="8"/>
        <item x="5"/>
        <item x="4"/>
        <item x="7"/>
        <item x="9"/>
        <item x="2"/>
        <item x="11"/>
        <item t="default"/>
      </items>
    </pivotField>
    <pivotField showAll="0">
      <items count="5">
        <item x="1"/>
        <item x="2"/>
        <item x="0"/>
        <item x="3"/>
        <item t="default"/>
      </items>
    </pivotField>
    <pivotField axis="axisRow" showAll="0">
      <items count="7">
        <item x="5"/>
        <item x="0"/>
        <item x="3"/>
        <item x="4"/>
        <item x="1"/>
        <item x="2"/>
        <item t="default"/>
      </items>
    </pivotField>
    <pivotField showAll="0"/>
    <pivotField dataField="1" showAll="0"/>
    <pivotField showAll="0"/>
    <pivotField showAll="0" defaultSubtotal="0"/>
  </pivotFields>
  <rowFields count="1">
    <field x="4"/>
  </rowFields>
  <rowItems count="7">
    <i>
      <x/>
    </i>
    <i>
      <x v="1"/>
    </i>
    <i>
      <x v="2"/>
    </i>
    <i>
      <x v="3"/>
    </i>
    <i>
      <x v="4"/>
    </i>
    <i>
      <x v="5"/>
    </i>
    <i t="grand">
      <x/>
    </i>
  </rowItems>
  <colItems count="1">
    <i/>
  </colItems>
  <dataFields count="1">
    <dataField name="Sum of Qty" fld="6" baseField="0" baseItem="0"/>
  </dataFields>
  <chartFormats count="9">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7">
  <location ref="H44:I49" firstHeaderRow="1" firstDataRow="1" firstDataCol="1"/>
  <pivotFields count="9">
    <pivotField showAll="0"/>
    <pivotField showAll="0"/>
    <pivotField showAll="0">
      <items count="13">
        <item x="0"/>
        <item x="1"/>
        <item x="3"/>
        <item x="10"/>
        <item x="6"/>
        <item x="8"/>
        <item x="5"/>
        <item x="4"/>
        <item x="7"/>
        <item x="9"/>
        <item x="2"/>
        <item x="11"/>
        <item t="default"/>
      </items>
    </pivotField>
    <pivotField axis="axisRow" showAll="0">
      <items count="5">
        <item x="1"/>
        <item x="2"/>
        <item x="0"/>
        <item x="3"/>
        <item t="default"/>
      </items>
    </pivotField>
    <pivotField showAll="0">
      <items count="7">
        <item x="5"/>
        <item x="0"/>
        <item x="3"/>
        <item x="4"/>
        <item x="1"/>
        <item x="2"/>
        <item t="default"/>
      </items>
    </pivotField>
    <pivotField showAll="0"/>
    <pivotField showAll="0"/>
    <pivotField showAll="0"/>
    <pivotField dataField="1" showAll="0" defaultSubtotal="0"/>
  </pivotFields>
  <rowFields count="1">
    <field x="3"/>
  </rowFields>
  <rowItems count="5">
    <i>
      <x/>
    </i>
    <i>
      <x v="1"/>
    </i>
    <i>
      <x v="2"/>
    </i>
    <i>
      <x v="3"/>
    </i>
    <i t="grand">
      <x/>
    </i>
  </rowItems>
  <colItems count="1">
    <i/>
  </colItems>
  <dataFields count="1">
    <dataField name="Sum of Total Sales" fld="8" baseField="0" baseItem="0"/>
  </dataFields>
  <chartFormats count="1">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1">
  <location ref="H12:I19" firstHeaderRow="1" firstDataRow="1" firstDataCol="1"/>
  <pivotFields count="9">
    <pivotField showAll="0"/>
    <pivotField showAll="0"/>
    <pivotField showAll="0">
      <items count="13">
        <item x="0"/>
        <item x="1"/>
        <item x="3"/>
        <item x="10"/>
        <item x="6"/>
        <item x="8"/>
        <item x="5"/>
        <item x="4"/>
        <item x="7"/>
        <item x="9"/>
        <item x="2"/>
        <item x="11"/>
        <item t="default"/>
      </items>
    </pivotField>
    <pivotField showAll="0">
      <items count="5">
        <item x="1"/>
        <item x="2"/>
        <item x="0"/>
        <item x="3"/>
        <item t="default"/>
      </items>
    </pivotField>
    <pivotField axis="axisRow" showAll="0">
      <items count="7">
        <item x="5"/>
        <item x="0"/>
        <item x="3"/>
        <item x="4"/>
        <item x="1"/>
        <item x="2"/>
        <item t="default"/>
      </items>
    </pivotField>
    <pivotField showAll="0"/>
    <pivotField dataField="1" showAll="0"/>
    <pivotField showAll="0"/>
    <pivotField showAll="0" defaultSubtotal="0"/>
  </pivotFields>
  <rowFields count="1">
    <field x="4"/>
  </rowFields>
  <rowItems count="7">
    <i>
      <x/>
    </i>
    <i>
      <x v="1"/>
    </i>
    <i>
      <x v="2"/>
    </i>
    <i>
      <x v="3"/>
    </i>
    <i>
      <x v="4"/>
    </i>
    <i>
      <x v="5"/>
    </i>
    <i t="grand">
      <x/>
    </i>
  </rowItems>
  <colItems count="1">
    <i/>
  </colItems>
  <dataFields count="1">
    <dataField name="Sum of Qty" fld="6" baseField="0" baseItem="0"/>
  </dataFields>
  <chartFormats count="12">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6">
  <location ref="W6:W7" firstHeaderRow="1" firstDataRow="1" firstDataCol="0"/>
  <pivotFields count="9">
    <pivotField showAll="0"/>
    <pivotField showAll="0"/>
    <pivotField showAll="0">
      <items count="13">
        <item x="0"/>
        <item x="1"/>
        <item x="3"/>
        <item x="10"/>
        <item x="6"/>
        <item x="8"/>
        <item x="5"/>
        <item x="4"/>
        <item x="7"/>
        <item x="9"/>
        <item x="2"/>
        <item x="11"/>
        <item t="default"/>
      </items>
    </pivotField>
    <pivotField showAll="0">
      <items count="5">
        <item x="1"/>
        <item x="2"/>
        <item x="0"/>
        <item x="3"/>
        <item t="default"/>
      </items>
    </pivotField>
    <pivotField showAll="0">
      <items count="7">
        <item x="5"/>
        <item x="0"/>
        <item x="3"/>
        <item x="4"/>
        <item x="1"/>
        <item x="2"/>
        <item t="default"/>
      </items>
    </pivotField>
    <pivotField showAll="0"/>
    <pivotField showAll="0"/>
    <pivotField showAll="0"/>
    <pivotField dataField="1" showAll="0" defaultSubtotal="0"/>
  </pivotFields>
  <rowItems count="1">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6">
  <location ref="W11:W12" firstHeaderRow="1" firstDataRow="1" firstDataCol="0"/>
  <pivotFields count="9">
    <pivotField showAll="0"/>
    <pivotField showAll="0"/>
    <pivotField showAll="0">
      <items count="13">
        <item x="0"/>
        <item x="1"/>
        <item x="3"/>
        <item x="10"/>
        <item x="6"/>
        <item x="8"/>
        <item x="5"/>
        <item x="4"/>
        <item x="7"/>
        <item x="9"/>
        <item x="2"/>
        <item x="11"/>
        <item t="default"/>
      </items>
    </pivotField>
    <pivotField showAll="0">
      <items count="5">
        <item x="1"/>
        <item x="2"/>
        <item x="0"/>
        <item x="3"/>
        <item t="default"/>
      </items>
    </pivotField>
    <pivotField showAll="0">
      <items count="7">
        <item x="5"/>
        <item x="0"/>
        <item x="3"/>
        <item x="4"/>
        <item x="1"/>
        <item x="2"/>
        <item t="default"/>
      </items>
    </pivotField>
    <pivotField showAll="0"/>
    <pivotField dataField="1" showAll="0"/>
    <pivotField showAll="0"/>
    <pivotField showAll="0" defaultSubtotal="0"/>
  </pivotFields>
  <rowItems count="1">
    <i/>
  </rowItems>
  <colItems count="1">
    <i/>
  </colItems>
  <dataFields count="1">
    <dataField name="Sum of Q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0">
  <location ref="O44:P57" firstHeaderRow="1" firstDataRow="1" firstDataCol="1"/>
  <pivotFields count="9">
    <pivotField showAll="0"/>
    <pivotField showAll="0"/>
    <pivotField axis="axisRow" showAll="0">
      <items count="13">
        <item x="0"/>
        <item x="1"/>
        <item x="3"/>
        <item x="10"/>
        <item x="6"/>
        <item x="8"/>
        <item x="5"/>
        <item x="4"/>
        <item x="7"/>
        <item x="9"/>
        <item x="2"/>
        <item x="11"/>
        <item t="default"/>
      </items>
    </pivotField>
    <pivotField showAll="0">
      <items count="5">
        <item x="1"/>
        <item x="2"/>
        <item x="0"/>
        <item x="3"/>
        <item t="default"/>
      </items>
    </pivotField>
    <pivotField showAll="0">
      <items count="7">
        <item x="5"/>
        <item x="0"/>
        <item x="3"/>
        <item x="4"/>
        <item x="1"/>
        <item x="2"/>
        <item t="default"/>
      </items>
    </pivotField>
    <pivotField showAll="0"/>
    <pivotField showAll="0"/>
    <pivotField showAll="0"/>
    <pivotField dataField="1"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Sum of Total Sales" fld="8" baseField="0" baseItem="0"/>
  </dataFields>
  <chartFormats count="1">
    <chartFormat chart="2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4">
  <location ref="A12:B19" firstHeaderRow="1" firstDataRow="1" firstDataCol="1"/>
  <pivotFields count="9">
    <pivotField showAll="0"/>
    <pivotField showAll="0"/>
    <pivotField showAll="0">
      <items count="13">
        <item x="0"/>
        <item x="1"/>
        <item x="3"/>
        <item x="10"/>
        <item x="6"/>
        <item x="8"/>
        <item x="5"/>
        <item x="4"/>
        <item x="7"/>
        <item x="9"/>
        <item x="2"/>
        <item x="11"/>
        <item t="default"/>
      </items>
    </pivotField>
    <pivotField showAll="0">
      <items count="5">
        <item x="1"/>
        <item x="2"/>
        <item x="0"/>
        <item x="3"/>
        <item t="default"/>
      </items>
    </pivotField>
    <pivotField axis="axisRow" showAll="0">
      <items count="7">
        <item x="5"/>
        <item x="0"/>
        <item x="3"/>
        <item x="4"/>
        <item x="1"/>
        <item x="2"/>
        <item t="default"/>
      </items>
    </pivotField>
    <pivotField showAll="0"/>
    <pivotField dataField="1" showAll="0"/>
    <pivotField showAll="0"/>
    <pivotField showAll="0" defaultSubtotal="0"/>
  </pivotFields>
  <rowFields count="1">
    <field x="4"/>
  </rowFields>
  <rowItems count="7">
    <i>
      <x/>
    </i>
    <i>
      <x v="1"/>
    </i>
    <i>
      <x v="2"/>
    </i>
    <i>
      <x v="3"/>
    </i>
    <i>
      <x v="4"/>
    </i>
    <i>
      <x v="5"/>
    </i>
    <i t="grand">
      <x/>
    </i>
  </rowItems>
  <colItems count="1">
    <i/>
  </colItems>
  <dataFields count="1">
    <dataField name="Sum of Qty" fld="6" baseField="0" baseItem="0"/>
  </dataField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3"/>
    <pivotTable tabId="4" name="PivotTable9"/>
    <pivotTable tabId="4" name="PivotTable10"/>
    <pivotTable tabId="4" name="PivotTable1"/>
    <pivotTable tabId="4" name="PivotTable2"/>
    <pivotTable tabId="4" name="PivotTable4"/>
    <pivotTable tabId="4" name="PivotTable5"/>
    <pivotTable tabId="4" name="PivotTable6"/>
    <pivotTable tabId="4" name="PivotTable7"/>
    <pivotTable tabId="4" name="PivotTable8"/>
    <pivotTable tabId="4" name="PivotTable11"/>
  </pivotTables>
  <data>
    <tabular pivotCacheId="1">
      <items count="12">
        <i x="0" s="1"/>
        <i x="1" s="1"/>
        <i x="3" s="1"/>
        <i x="10" s="1"/>
        <i x="6" s="1"/>
        <i x="8" s="1"/>
        <i x="5" s="1"/>
        <i x="4" s="1"/>
        <i x="7" s="1"/>
        <i x="9" s="1"/>
        <i x="2"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9"/>
    <pivotTable tabId="4" name="PivotTable8"/>
    <pivotTable tabId="4" name="PivotTable11"/>
  </pivotTables>
  <data>
    <tabular pivotCacheId="1">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9"/>
    <pivotTable tabId="4" name="PivotTable8"/>
    <pivotTable tabId="4" name="PivotTable11"/>
  </pivotTables>
  <data>
    <tabular pivotCacheId="1">
      <items count="6">
        <i x="5" s="1"/>
        <i x="0" s="1"/>
        <i x="3"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1" cache="Slicer_Month" caption="Month" columnCount="12" style="SlicerStyleLight6" rowHeight="241300"/>
  <slicer name="Region 8" cache="Slicer_Region" caption="Region" columnCount="2" style="SlicerStyleLight6" rowHeight="241300"/>
  <slicer name="Product 6" cache="Slicer_Product" caption="Product" columnCount="6"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 4" cache="Slicer_Month" caption="Month" columnCount="12" style="SlicerStyleLight6" rowHeight="241300"/>
  <slicer name="Region 9" cache="Slicer_Region" caption="Region" columnCount="2" style="SlicerStyleLight6" rowHeight="241300"/>
  <slicer name="Product 9" cache="Slicer_Product" caption="Product" columnCount="6"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Month 3" cache="Slicer_Month" caption="Month" columnCount="12" style="SlicerStyleLight6" rowHeight="241300"/>
  <slicer name="Region 6" cache="Slicer_Region" caption="Region" columnCount="2" style="SlicerStyleLight6" rowHeight="241300"/>
  <slicer name="Product 7" cache="Slicer_Product" caption="Product" columnCount="6"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Month" cache="Slicer_Month" caption="Month" columnCount="12" rowHeight="241300"/>
  <slicer name="Region 1" cache="Slicer_Region" caption="Region" columnCount="2" rowHeight="241300"/>
  <slicer name="Product" cache="Slicer_Product" caption="Product" columnCount="6" rowHeight="241300"/>
</slicers>
</file>

<file path=xl/tables/table1.xml><?xml version="1.0" encoding="utf-8"?>
<table xmlns="http://schemas.openxmlformats.org/spreadsheetml/2006/main" id="1" name="Table1" displayName="Table1" ref="A1:I81" totalsRowShown="0">
  <autoFilter ref="A1:I81"/>
  <tableColumns count="9">
    <tableColumn id="1" name="Order ID"/>
    <tableColumn id="2" name="Date"/>
    <tableColumn id="3" name="Month">
      <calculatedColumnFormula>TEXT(Table1[[#This Row],[Date]],"mmm")</calculatedColumnFormula>
    </tableColumn>
    <tableColumn id="4" name="Region"/>
    <tableColumn id="5" name="Product"/>
    <tableColumn id="6" name="Salesperson"/>
    <tableColumn id="7" name="Qty"/>
    <tableColumn id="8" name="Unit Price"/>
    <tableColumn id="9" name="Total Sales">
      <calculatedColumnFormula>G2*H2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5.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1"/>
  <sheetViews>
    <sheetView workbookViewId="0">
      <selection activeCell="I1" sqref="I1"/>
    </sheetView>
  </sheetViews>
  <sheetFormatPr defaultRowHeight="15" x14ac:dyDescent="0.25"/>
  <cols>
    <col min="1" max="1" width="12" customWidth="1"/>
    <col min="2" max="2" width="15" customWidth="1"/>
    <col min="3" max="3" width="9.140625" customWidth="1"/>
    <col min="4" max="4" width="10" customWidth="1"/>
    <col min="5" max="5" width="12" customWidth="1"/>
    <col min="6" max="6" width="15" customWidth="1"/>
    <col min="7" max="7" width="7" customWidth="1"/>
    <col min="8" max="8" width="14" customWidth="1"/>
    <col min="9" max="9" width="15" customWidth="1"/>
  </cols>
  <sheetData>
    <row r="1" spans="1:13" x14ac:dyDescent="0.25">
      <c r="A1" t="s">
        <v>0</v>
      </c>
      <c r="B1" t="s">
        <v>1</v>
      </c>
      <c r="C1" t="s">
        <v>2</v>
      </c>
      <c r="D1" t="s">
        <v>3</v>
      </c>
      <c r="E1" t="s">
        <v>4</v>
      </c>
      <c r="F1" t="s">
        <v>5</v>
      </c>
      <c r="G1" t="s">
        <v>6</v>
      </c>
      <c r="H1" t="s">
        <v>7</v>
      </c>
      <c r="I1" t="s">
        <v>185</v>
      </c>
    </row>
    <row r="2" spans="1:13" x14ac:dyDescent="0.25">
      <c r="A2" t="s">
        <v>8</v>
      </c>
      <c r="B2" t="s">
        <v>9</v>
      </c>
      <c r="C2" t="str">
        <f>TEXT(Table1[[#This Row],[Date]],"mmm")</f>
        <v>Jan</v>
      </c>
      <c r="D2" t="s">
        <v>10</v>
      </c>
      <c r="E2" t="s">
        <v>11</v>
      </c>
      <c r="F2" t="s">
        <v>12</v>
      </c>
      <c r="G2">
        <v>25</v>
      </c>
      <c r="H2">
        <v>1428</v>
      </c>
      <c r="I2">
        <f>G2*H2</f>
        <v>35700</v>
      </c>
    </row>
    <row r="3" spans="1:13" x14ac:dyDescent="0.25">
      <c r="A3" t="s">
        <v>13</v>
      </c>
      <c r="B3" t="s">
        <v>14</v>
      </c>
      <c r="C3" t="str">
        <f>TEXT(Table1[[#This Row],[Date]],"mmm")</f>
        <v>Feb</v>
      </c>
      <c r="D3" t="s">
        <v>15</v>
      </c>
      <c r="E3" t="s">
        <v>16</v>
      </c>
      <c r="F3" t="s">
        <v>17</v>
      </c>
      <c r="G3">
        <v>9</v>
      </c>
      <c r="H3">
        <v>2708</v>
      </c>
      <c r="I3">
        <f t="shared" ref="I3:I66" si="0">G3*H3</f>
        <v>24372</v>
      </c>
    </row>
    <row r="4" spans="1:13" x14ac:dyDescent="0.25">
      <c r="A4" t="s">
        <v>18</v>
      </c>
      <c r="B4" t="s">
        <v>19</v>
      </c>
      <c r="C4" t="str">
        <f>TEXT(Table1[[#This Row],[Date]],"mmm")</f>
        <v>Feb</v>
      </c>
      <c r="D4" t="s">
        <v>20</v>
      </c>
      <c r="E4" t="s">
        <v>11</v>
      </c>
      <c r="F4" t="s">
        <v>21</v>
      </c>
      <c r="G4">
        <v>6</v>
      </c>
      <c r="H4">
        <v>1261</v>
      </c>
      <c r="I4">
        <f t="shared" si="0"/>
        <v>7566</v>
      </c>
    </row>
    <row r="5" spans="1:13" x14ac:dyDescent="0.25">
      <c r="A5" t="s">
        <v>22</v>
      </c>
      <c r="B5" t="s">
        <v>23</v>
      </c>
      <c r="C5" t="str">
        <f>TEXT(Table1[[#This Row],[Date]],"mmm")</f>
        <v>Nov</v>
      </c>
      <c r="D5" t="s">
        <v>24</v>
      </c>
      <c r="E5" t="s">
        <v>11</v>
      </c>
      <c r="F5" t="s">
        <v>25</v>
      </c>
      <c r="G5">
        <v>22</v>
      </c>
      <c r="H5">
        <v>1607</v>
      </c>
      <c r="I5">
        <f t="shared" si="0"/>
        <v>35354</v>
      </c>
    </row>
    <row r="6" spans="1:13" x14ac:dyDescent="0.25">
      <c r="A6" t="s">
        <v>26</v>
      </c>
      <c r="B6" t="s">
        <v>27</v>
      </c>
      <c r="C6" t="str">
        <f>TEXT(Table1[[#This Row],[Date]],"mmm")</f>
        <v>Jan</v>
      </c>
      <c r="D6" t="s">
        <v>20</v>
      </c>
      <c r="E6" t="s">
        <v>28</v>
      </c>
      <c r="F6" t="s">
        <v>17</v>
      </c>
      <c r="G6">
        <v>23</v>
      </c>
      <c r="H6">
        <v>1769</v>
      </c>
      <c r="I6">
        <f t="shared" si="0"/>
        <v>40687</v>
      </c>
    </row>
    <row r="7" spans="1:13" x14ac:dyDescent="0.25">
      <c r="A7" t="s">
        <v>29</v>
      </c>
      <c r="B7" t="s">
        <v>30</v>
      </c>
      <c r="C7" t="str">
        <f>TEXT(Table1[[#This Row],[Date]],"mmm")</f>
        <v>Mar</v>
      </c>
      <c r="D7" t="s">
        <v>20</v>
      </c>
      <c r="E7" t="s">
        <v>31</v>
      </c>
      <c r="F7" t="s">
        <v>32</v>
      </c>
      <c r="G7">
        <v>15</v>
      </c>
      <c r="H7">
        <v>1769</v>
      </c>
      <c r="I7">
        <f t="shared" si="0"/>
        <v>26535</v>
      </c>
      <c r="K7">
        <f>SUMIF(C:C,"oct",G:G)</f>
        <v>109</v>
      </c>
    </row>
    <row r="8" spans="1:13" x14ac:dyDescent="0.25">
      <c r="A8" t="s">
        <v>33</v>
      </c>
      <c r="B8" t="s">
        <v>34</v>
      </c>
      <c r="C8" t="str">
        <f>TEXT(Table1[[#This Row],[Date]],"mmm")</f>
        <v>Feb</v>
      </c>
      <c r="D8" t="s">
        <v>10</v>
      </c>
      <c r="E8" t="s">
        <v>31</v>
      </c>
      <c r="F8" t="s">
        <v>35</v>
      </c>
      <c r="G8">
        <v>7</v>
      </c>
      <c r="H8">
        <v>1978</v>
      </c>
      <c r="I8">
        <f t="shared" si="0"/>
        <v>13846</v>
      </c>
    </row>
    <row r="9" spans="1:13" x14ac:dyDescent="0.25">
      <c r="A9" t="s">
        <v>36</v>
      </c>
      <c r="B9" t="s">
        <v>37</v>
      </c>
      <c r="C9" t="str">
        <f>TEXT(Table1[[#This Row],[Date]],"mmm")</f>
        <v>Aug</v>
      </c>
      <c r="D9" t="s">
        <v>15</v>
      </c>
      <c r="E9" t="s">
        <v>38</v>
      </c>
      <c r="F9" t="s">
        <v>32</v>
      </c>
      <c r="G9">
        <v>30</v>
      </c>
      <c r="H9">
        <v>1288</v>
      </c>
      <c r="I9">
        <f t="shared" si="0"/>
        <v>38640</v>
      </c>
      <c r="M9">
        <f>-IF(Raw_Data!D:D="West"&amp;Raw_Data!E:E="Scanner",SUM(Raw_Data!G:G))</f>
        <v>0</v>
      </c>
    </row>
    <row r="10" spans="1:13" x14ac:dyDescent="0.25">
      <c r="A10" t="s">
        <v>39</v>
      </c>
      <c r="B10" t="s">
        <v>40</v>
      </c>
      <c r="C10" t="str">
        <f>TEXT(Table1[[#This Row],[Date]],"mmm")</f>
        <v>Nov</v>
      </c>
      <c r="D10" t="s">
        <v>10</v>
      </c>
      <c r="E10" t="s">
        <v>16</v>
      </c>
      <c r="F10" t="s">
        <v>12</v>
      </c>
      <c r="G10">
        <v>22</v>
      </c>
      <c r="H10">
        <v>1800</v>
      </c>
      <c r="I10">
        <f t="shared" si="0"/>
        <v>39600</v>
      </c>
    </row>
    <row r="11" spans="1:13" x14ac:dyDescent="0.25">
      <c r="A11" t="s">
        <v>41</v>
      </c>
      <c r="B11" t="s">
        <v>42</v>
      </c>
      <c r="C11" t="str">
        <f>TEXT(Table1[[#This Row],[Date]],"mmm")</f>
        <v>Jan</v>
      </c>
      <c r="D11" t="s">
        <v>20</v>
      </c>
      <c r="E11" t="s">
        <v>31</v>
      </c>
      <c r="F11" t="s">
        <v>32</v>
      </c>
      <c r="G11">
        <v>27</v>
      </c>
      <c r="H11">
        <v>1342</v>
      </c>
      <c r="I11">
        <f t="shared" si="0"/>
        <v>36234</v>
      </c>
    </row>
    <row r="12" spans="1:13" x14ac:dyDescent="0.25">
      <c r="A12" t="s">
        <v>43</v>
      </c>
      <c r="B12" t="s">
        <v>44</v>
      </c>
      <c r="C12" t="str">
        <f>TEXT(Table1[[#This Row],[Date]],"mmm")</f>
        <v>Feb</v>
      </c>
      <c r="D12" t="s">
        <v>24</v>
      </c>
      <c r="E12" t="s">
        <v>31</v>
      </c>
      <c r="F12" t="s">
        <v>25</v>
      </c>
      <c r="G12">
        <v>32</v>
      </c>
      <c r="H12">
        <v>1676</v>
      </c>
      <c r="I12">
        <f t="shared" si="0"/>
        <v>53632</v>
      </c>
      <c r="K12">
        <f>SUMIFS(Raw_Data!G:G, Raw_Data!D:D, "West", Raw_Data!E:E, "Scanner")</f>
        <v>70</v>
      </c>
    </row>
    <row r="13" spans="1:13" x14ac:dyDescent="0.25">
      <c r="A13" t="s">
        <v>45</v>
      </c>
      <c r="B13" t="s">
        <v>46</v>
      </c>
      <c r="C13" t="str">
        <f>TEXT(Table1[[#This Row],[Date]],"mmm")</f>
        <v>Jul</v>
      </c>
      <c r="D13" t="s">
        <v>20</v>
      </c>
      <c r="E13" t="s">
        <v>31</v>
      </c>
      <c r="F13" t="s">
        <v>47</v>
      </c>
      <c r="G13">
        <v>25</v>
      </c>
      <c r="H13">
        <v>2908</v>
      </c>
      <c r="I13">
        <f t="shared" si="0"/>
        <v>72700</v>
      </c>
    </row>
    <row r="14" spans="1:13" x14ac:dyDescent="0.25">
      <c r="A14" t="s">
        <v>48</v>
      </c>
      <c r="B14" t="s">
        <v>49</v>
      </c>
      <c r="C14" t="str">
        <f>TEXT(Table1[[#This Row],[Date]],"mmm")</f>
        <v>May</v>
      </c>
      <c r="D14" t="s">
        <v>15</v>
      </c>
      <c r="E14" t="s">
        <v>16</v>
      </c>
      <c r="F14" t="s">
        <v>50</v>
      </c>
      <c r="G14">
        <v>11</v>
      </c>
      <c r="H14">
        <v>2572</v>
      </c>
      <c r="I14">
        <f t="shared" si="0"/>
        <v>28292</v>
      </c>
    </row>
    <row r="15" spans="1:13" x14ac:dyDescent="0.25">
      <c r="A15" t="s">
        <v>51</v>
      </c>
      <c r="B15" t="s">
        <v>52</v>
      </c>
      <c r="C15" t="str">
        <f>TEXT(Table1[[#This Row],[Date]],"mmm")</f>
        <v>May</v>
      </c>
      <c r="D15" t="s">
        <v>20</v>
      </c>
      <c r="E15" t="s">
        <v>38</v>
      </c>
      <c r="F15" t="s">
        <v>17</v>
      </c>
      <c r="G15">
        <v>22</v>
      </c>
      <c r="H15">
        <v>2693</v>
      </c>
      <c r="I15">
        <f t="shared" si="0"/>
        <v>59246</v>
      </c>
    </row>
    <row r="16" spans="1:13" x14ac:dyDescent="0.25">
      <c r="A16" t="s">
        <v>53</v>
      </c>
      <c r="B16" t="s">
        <v>54</v>
      </c>
      <c r="C16" t="str">
        <f>TEXT(Table1[[#This Row],[Date]],"mmm")</f>
        <v>Nov</v>
      </c>
      <c r="D16" t="s">
        <v>20</v>
      </c>
      <c r="E16" t="s">
        <v>28</v>
      </c>
      <c r="F16" t="s">
        <v>47</v>
      </c>
      <c r="G16">
        <v>13</v>
      </c>
      <c r="H16">
        <v>3095</v>
      </c>
      <c r="I16">
        <f t="shared" si="0"/>
        <v>40235</v>
      </c>
    </row>
    <row r="17" spans="1:9" x14ac:dyDescent="0.25">
      <c r="A17" t="s">
        <v>55</v>
      </c>
      <c r="B17" t="s">
        <v>56</v>
      </c>
      <c r="C17" t="str">
        <f>TEXT(Table1[[#This Row],[Date]],"mmm")</f>
        <v>Jan</v>
      </c>
      <c r="D17" t="s">
        <v>20</v>
      </c>
      <c r="E17" t="s">
        <v>57</v>
      </c>
      <c r="F17" t="s">
        <v>47</v>
      </c>
      <c r="G17">
        <v>31</v>
      </c>
      <c r="H17">
        <v>2773</v>
      </c>
      <c r="I17">
        <f t="shared" si="0"/>
        <v>85963</v>
      </c>
    </row>
    <row r="18" spans="1:9" x14ac:dyDescent="0.25">
      <c r="A18" t="s">
        <v>58</v>
      </c>
      <c r="B18" t="s">
        <v>59</v>
      </c>
      <c r="C18" t="str">
        <f>TEXT(Table1[[#This Row],[Date]],"mmm")</f>
        <v>Feb</v>
      </c>
      <c r="D18" t="s">
        <v>20</v>
      </c>
      <c r="E18" t="s">
        <v>16</v>
      </c>
      <c r="F18" t="s">
        <v>47</v>
      </c>
      <c r="G18">
        <v>17</v>
      </c>
      <c r="H18">
        <v>1748</v>
      </c>
      <c r="I18">
        <f t="shared" si="0"/>
        <v>29716</v>
      </c>
    </row>
    <row r="19" spans="1:9" x14ac:dyDescent="0.25">
      <c r="A19" t="s">
        <v>60</v>
      </c>
      <c r="B19" t="s">
        <v>61</v>
      </c>
      <c r="C19" t="str">
        <f>TEXT(Table1[[#This Row],[Date]],"mmm")</f>
        <v>Sep</v>
      </c>
      <c r="D19" t="s">
        <v>24</v>
      </c>
      <c r="E19" t="s">
        <v>28</v>
      </c>
      <c r="F19" t="s">
        <v>25</v>
      </c>
      <c r="G19">
        <v>11</v>
      </c>
      <c r="H19">
        <v>2542</v>
      </c>
      <c r="I19">
        <f t="shared" si="0"/>
        <v>27962</v>
      </c>
    </row>
    <row r="20" spans="1:9" x14ac:dyDescent="0.25">
      <c r="A20" t="s">
        <v>62</v>
      </c>
      <c r="B20" t="s">
        <v>63</v>
      </c>
      <c r="C20" t="str">
        <f>TEXT(Table1[[#This Row],[Date]],"mmm")</f>
        <v>Mar</v>
      </c>
      <c r="D20" t="s">
        <v>20</v>
      </c>
      <c r="E20" t="s">
        <v>28</v>
      </c>
      <c r="F20" t="s">
        <v>35</v>
      </c>
      <c r="G20">
        <v>9</v>
      </c>
      <c r="H20">
        <v>1742</v>
      </c>
      <c r="I20">
        <f t="shared" si="0"/>
        <v>15678</v>
      </c>
    </row>
    <row r="21" spans="1:9" x14ac:dyDescent="0.25">
      <c r="A21" t="s">
        <v>64</v>
      </c>
      <c r="B21" t="s">
        <v>65</v>
      </c>
      <c r="C21" t="str">
        <f>TEXT(Table1[[#This Row],[Date]],"mmm")</f>
        <v>Aug</v>
      </c>
      <c r="D21" t="s">
        <v>24</v>
      </c>
      <c r="E21" t="s">
        <v>31</v>
      </c>
      <c r="F21" t="s">
        <v>12</v>
      </c>
      <c r="G21">
        <v>28</v>
      </c>
      <c r="H21">
        <v>2397</v>
      </c>
      <c r="I21">
        <f t="shared" si="0"/>
        <v>67116</v>
      </c>
    </row>
    <row r="22" spans="1:9" x14ac:dyDescent="0.25">
      <c r="A22" t="s">
        <v>66</v>
      </c>
      <c r="B22" t="s">
        <v>67</v>
      </c>
      <c r="C22" t="str">
        <f>TEXT(Table1[[#This Row],[Date]],"mmm")</f>
        <v>Sep</v>
      </c>
      <c r="D22" t="s">
        <v>15</v>
      </c>
      <c r="E22" t="s">
        <v>57</v>
      </c>
      <c r="F22" t="s">
        <v>32</v>
      </c>
      <c r="G22">
        <v>9</v>
      </c>
      <c r="H22">
        <v>2243</v>
      </c>
      <c r="I22">
        <f t="shared" si="0"/>
        <v>20187</v>
      </c>
    </row>
    <row r="23" spans="1:9" x14ac:dyDescent="0.25">
      <c r="A23" t="s">
        <v>68</v>
      </c>
      <c r="B23" t="s">
        <v>69</v>
      </c>
      <c r="C23" t="str">
        <f>TEXT(Table1[[#This Row],[Date]],"mmm")</f>
        <v>Mar</v>
      </c>
      <c r="D23" t="s">
        <v>24</v>
      </c>
      <c r="E23" t="s">
        <v>16</v>
      </c>
      <c r="F23" t="s">
        <v>32</v>
      </c>
      <c r="G23">
        <v>9</v>
      </c>
      <c r="H23">
        <v>2485</v>
      </c>
      <c r="I23">
        <f t="shared" si="0"/>
        <v>22365</v>
      </c>
    </row>
    <row r="24" spans="1:9" x14ac:dyDescent="0.25">
      <c r="A24" t="s">
        <v>70</v>
      </c>
      <c r="B24" t="s">
        <v>71</v>
      </c>
      <c r="C24" t="str">
        <f>TEXT(Table1[[#This Row],[Date]],"mmm")</f>
        <v>Nov</v>
      </c>
      <c r="D24" t="s">
        <v>24</v>
      </c>
      <c r="E24" t="s">
        <v>16</v>
      </c>
      <c r="F24" t="s">
        <v>35</v>
      </c>
      <c r="G24">
        <v>17</v>
      </c>
      <c r="H24">
        <v>1981</v>
      </c>
      <c r="I24">
        <f t="shared" si="0"/>
        <v>33677</v>
      </c>
    </row>
    <row r="25" spans="1:9" x14ac:dyDescent="0.25">
      <c r="A25" t="s">
        <v>72</v>
      </c>
      <c r="B25" t="s">
        <v>73</v>
      </c>
      <c r="C25" t="str">
        <f>TEXT(Table1[[#This Row],[Date]],"mmm")</f>
        <v>Jan</v>
      </c>
      <c r="D25" t="s">
        <v>15</v>
      </c>
      <c r="E25" t="s">
        <v>28</v>
      </c>
      <c r="F25" t="s">
        <v>35</v>
      </c>
      <c r="G25">
        <v>22</v>
      </c>
      <c r="H25">
        <v>2962</v>
      </c>
      <c r="I25">
        <f t="shared" si="0"/>
        <v>65164</v>
      </c>
    </row>
    <row r="26" spans="1:9" x14ac:dyDescent="0.25">
      <c r="A26" t="s">
        <v>74</v>
      </c>
      <c r="B26" t="s">
        <v>75</v>
      </c>
      <c r="C26" t="str">
        <f>TEXT(Table1[[#This Row],[Date]],"mmm")</f>
        <v>Jun</v>
      </c>
      <c r="D26" t="s">
        <v>15</v>
      </c>
      <c r="E26" t="s">
        <v>31</v>
      </c>
      <c r="F26" t="s">
        <v>17</v>
      </c>
      <c r="G26">
        <v>29</v>
      </c>
      <c r="H26">
        <v>2512</v>
      </c>
      <c r="I26">
        <f t="shared" si="0"/>
        <v>72848</v>
      </c>
    </row>
    <row r="27" spans="1:9" x14ac:dyDescent="0.25">
      <c r="A27" t="s">
        <v>76</v>
      </c>
      <c r="B27" t="s">
        <v>77</v>
      </c>
      <c r="C27" t="str">
        <f>TEXT(Table1[[#This Row],[Date]],"mmm")</f>
        <v>Jan</v>
      </c>
      <c r="D27" t="s">
        <v>10</v>
      </c>
      <c r="E27" t="s">
        <v>16</v>
      </c>
      <c r="F27" t="s">
        <v>50</v>
      </c>
      <c r="G27">
        <v>10</v>
      </c>
      <c r="H27">
        <v>2129</v>
      </c>
      <c r="I27">
        <f t="shared" si="0"/>
        <v>21290</v>
      </c>
    </row>
    <row r="28" spans="1:9" x14ac:dyDescent="0.25">
      <c r="A28" t="s">
        <v>78</v>
      </c>
      <c r="B28" t="s">
        <v>79</v>
      </c>
      <c r="C28" t="str">
        <f>TEXT(Table1[[#This Row],[Date]],"mmm")</f>
        <v>Feb</v>
      </c>
      <c r="D28" t="s">
        <v>10</v>
      </c>
      <c r="E28" t="s">
        <v>28</v>
      </c>
      <c r="F28" t="s">
        <v>12</v>
      </c>
      <c r="G28">
        <v>21</v>
      </c>
      <c r="H28">
        <v>3069</v>
      </c>
      <c r="I28">
        <f t="shared" si="0"/>
        <v>64449</v>
      </c>
    </row>
    <row r="29" spans="1:9" x14ac:dyDescent="0.25">
      <c r="A29" t="s">
        <v>80</v>
      </c>
      <c r="B29" t="s">
        <v>81</v>
      </c>
      <c r="C29" t="str">
        <f>TEXT(Table1[[#This Row],[Date]],"mmm")</f>
        <v>Mar</v>
      </c>
      <c r="D29" t="s">
        <v>15</v>
      </c>
      <c r="E29" t="s">
        <v>16</v>
      </c>
      <c r="F29" t="s">
        <v>47</v>
      </c>
      <c r="G29">
        <v>9</v>
      </c>
      <c r="H29">
        <v>1965</v>
      </c>
      <c r="I29">
        <f t="shared" si="0"/>
        <v>17685</v>
      </c>
    </row>
    <row r="30" spans="1:9" x14ac:dyDescent="0.25">
      <c r="A30" t="s">
        <v>82</v>
      </c>
      <c r="B30" t="s">
        <v>83</v>
      </c>
      <c r="C30" t="str">
        <f>TEXT(Table1[[#This Row],[Date]],"mmm")</f>
        <v>Feb</v>
      </c>
      <c r="D30" t="s">
        <v>10</v>
      </c>
      <c r="E30" t="s">
        <v>31</v>
      </c>
      <c r="F30" t="s">
        <v>12</v>
      </c>
      <c r="G30">
        <v>20</v>
      </c>
      <c r="H30">
        <v>1239</v>
      </c>
      <c r="I30">
        <f t="shared" si="0"/>
        <v>24780</v>
      </c>
    </row>
    <row r="31" spans="1:9" x14ac:dyDescent="0.25">
      <c r="A31" t="s">
        <v>84</v>
      </c>
      <c r="B31" t="s">
        <v>85</v>
      </c>
      <c r="C31" t="str">
        <f>TEXT(Table1[[#This Row],[Date]],"mmm")</f>
        <v>Oct</v>
      </c>
      <c r="D31" t="s">
        <v>15</v>
      </c>
      <c r="E31" t="s">
        <v>57</v>
      </c>
      <c r="F31" t="s">
        <v>25</v>
      </c>
      <c r="G31">
        <v>6</v>
      </c>
      <c r="H31">
        <v>1693</v>
      </c>
      <c r="I31">
        <f t="shared" si="0"/>
        <v>10158</v>
      </c>
    </row>
    <row r="32" spans="1:9" x14ac:dyDescent="0.25">
      <c r="A32" t="s">
        <v>86</v>
      </c>
      <c r="B32" t="s">
        <v>87</v>
      </c>
      <c r="C32" t="str">
        <f>TEXT(Table1[[#This Row],[Date]],"mmm")</f>
        <v>Sep</v>
      </c>
      <c r="D32" t="s">
        <v>20</v>
      </c>
      <c r="E32" t="s">
        <v>11</v>
      </c>
      <c r="F32" t="s">
        <v>25</v>
      </c>
      <c r="G32">
        <v>31</v>
      </c>
      <c r="H32">
        <v>1341</v>
      </c>
      <c r="I32">
        <f t="shared" si="0"/>
        <v>41571</v>
      </c>
    </row>
    <row r="33" spans="1:9" x14ac:dyDescent="0.25">
      <c r="A33" t="s">
        <v>88</v>
      </c>
      <c r="B33" t="s">
        <v>89</v>
      </c>
      <c r="C33" t="str">
        <f>TEXT(Table1[[#This Row],[Date]],"mmm")</f>
        <v>Mar</v>
      </c>
      <c r="D33" t="s">
        <v>10</v>
      </c>
      <c r="E33" t="s">
        <v>16</v>
      </c>
      <c r="F33" t="s">
        <v>17</v>
      </c>
      <c r="G33">
        <v>35</v>
      </c>
      <c r="H33">
        <v>2325</v>
      </c>
      <c r="I33">
        <f t="shared" si="0"/>
        <v>81375</v>
      </c>
    </row>
    <row r="34" spans="1:9" x14ac:dyDescent="0.25">
      <c r="A34" t="s">
        <v>90</v>
      </c>
      <c r="B34" t="s">
        <v>91</v>
      </c>
      <c r="C34" t="str">
        <f>TEXT(Table1[[#This Row],[Date]],"mmm")</f>
        <v>Oct</v>
      </c>
      <c r="D34" t="s">
        <v>20</v>
      </c>
      <c r="E34" t="s">
        <v>28</v>
      </c>
      <c r="F34" t="s">
        <v>35</v>
      </c>
      <c r="G34">
        <v>35</v>
      </c>
      <c r="H34">
        <v>1633</v>
      </c>
      <c r="I34">
        <f t="shared" si="0"/>
        <v>57155</v>
      </c>
    </row>
    <row r="35" spans="1:9" x14ac:dyDescent="0.25">
      <c r="A35" t="s">
        <v>92</v>
      </c>
      <c r="B35" t="s">
        <v>23</v>
      </c>
      <c r="C35" t="str">
        <f>TEXT(Table1[[#This Row],[Date]],"mmm")</f>
        <v>Nov</v>
      </c>
      <c r="D35" t="s">
        <v>10</v>
      </c>
      <c r="E35" t="s">
        <v>38</v>
      </c>
      <c r="F35" t="s">
        <v>25</v>
      </c>
      <c r="G35">
        <v>17</v>
      </c>
      <c r="H35">
        <v>2575</v>
      </c>
      <c r="I35">
        <f t="shared" si="0"/>
        <v>43775</v>
      </c>
    </row>
    <row r="36" spans="1:9" x14ac:dyDescent="0.25">
      <c r="A36" t="s">
        <v>93</v>
      </c>
      <c r="B36" t="s">
        <v>94</v>
      </c>
      <c r="C36" t="str">
        <f>TEXT(Table1[[#This Row],[Date]],"mmm")</f>
        <v>Apr</v>
      </c>
      <c r="D36" t="s">
        <v>15</v>
      </c>
      <c r="E36" t="s">
        <v>31</v>
      </c>
      <c r="F36" t="s">
        <v>21</v>
      </c>
      <c r="G36">
        <v>8</v>
      </c>
      <c r="H36">
        <v>1707</v>
      </c>
      <c r="I36">
        <f t="shared" si="0"/>
        <v>13656</v>
      </c>
    </row>
    <row r="37" spans="1:9" x14ac:dyDescent="0.25">
      <c r="A37" t="s">
        <v>95</v>
      </c>
      <c r="B37" t="s">
        <v>96</v>
      </c>
      <c r="C37" t="str">
        <f>TEXT(Table1[[#This Row],[Date]],"mmm")</f>
        <v>Apr</v>
      </c>
      <c r="D37" t="s">
        <v>20</v>
      </c>
      <c r="E37" t="s">
        <v>57</v>
      </c>
      <c r="F37" t="s">
        <v>32</v>
      </c>
      <c r="G37">
        <v>23</v>
      </c>
      <c r="H37">
        <v>2334</v>
      </c>
      <c r="I37">
        <f t="shared" si="0"/>
        <v>53682</v>
      </c>
    </row>
    <row r="38" spans="1:9" x14ac:dyDescent="0.25">
      <c r="A38" t="s">
        <v>97</v>
      </c>
      <c r="B38" t="s">
        <v>98</v>
      </c>
      <c r="C38" t="str">
        <f>TEXT(Table1[[#This Row],[Date]],"mmm")</f>
        <v>Jan</v>
      </c>
      <c r="D38" t="s">
        <v>20</v>
      </c>
      <c r="E38" t="s">
        <v>57</v>
      </c>
      <c r="F38" t="s">
        <v>21</v>
      </c>
      <c r="G38">
        <v>27</v>
      </c>
      <c r="H38">
        <v>2492</v>
      </c>
      <c r="I38">
        <f t="shared" si="0"/>
        <v>67284</v>
      </c>
    </row>
    <row r="39" spans="1:9" x14ac:dyDescent="0.25">
      <c r="A39" t="s">
        <v>99</v>
      </c>
      <c r="B39" t="s">
        <v>100</v>
      </c>
      <c r="C39" t="str">
        <f>TEXT(Table1[[#This Row],[Date]],"mmm")</f>
        <v>Feb</v>
      </c>
      <c r="D39" t="s">
        <v>20</v>
      </c>
      <c r="E39" t="s">
        <v>31</v>
      </c>
      <c r="F39" t="s">
        <v>25</v>
      </c>
      <c r="G39">
        <v>32</v>
      </c>
      <c r="H39">
        <v>1876</v>
      </c>
      <c r="I39">
        <f t="shared" si="0"/>
        <v>60032</v>
      </c>
    </row>
    <row r="40" spans="1:9" x14ac:dyDescent="0.25">
      <c r="A40" t="s">
        <v>101</v>
      </c>
      <c r="B40" t="s">
        <v>102</v>
      </c>
      <c r="C40" t="str">
        <f>TEXT(Table1[[#This Row],[Date]],"mmm")</f>
        <v>Mar</v>
      </c>
      <c r="D40" t="s">
        <v>24</v>
      </c>
      <c r="E40" t="s">
        <v>11</v>
      </c>
      <c r="F40" t="s">
        <v>25</v>
      </c>
      <c r="G40">
        <v>11</v>
      </c>
      <c r="H40">
        <v>2304</v>
      </c>
      <c r="I40">
        <f t="shared" si="0"/>
        <v>25344</v>
      </c>
    </row>
    <row r="41" spans="1:9" x14ac:dyDescent="0.25">
      <c r="A41" t="s">
        <v>103</v>
      </c>
      <c r="B41" t="s">
        <v>104</v>
      </c>
      <c r="C41" t="str">
        <f>TEXT(Table1[[#This Row],[Date]],"mmm")</f>
        <v>Apr</v>
      </c>
      <c r="D41" t="s">
        <v>15</v>
      </c>
      <c r="E41" t="s">
        <v>57</v>
      </c>
      <c r="F41" t="s">
        <v>17</v>
      </c>
      <c r="G41">
        <v>30</v>
      </c>
      <c r="H41">
        <v>2033</v>
      </c>
      <c r="I41">
        <f t="shared" si="0"/>
        <v>60990</v>
      </c>
    </row>
    <row r="42" spans="1:9" x14ac:dyDescent="0.25">
      <c r="A42" t="s">
        <v>105</v>
      </c>
      <c r="B42" t="s">
        <v>106</v>
      </c>
      <c r="C42" t="str">
        <f>TEXT(Table1[[#This Row],[Date]],"mmm")</f>
        <v>Jul</v>
      </c>
      <c r="D42" t="s">
        <v>24</v>
      </c>
      <c r="E42" t="s">
        <v>28</v>
      </c>
      <c r="F42" t="s">
        <v>21</v>
      </c>
      <c r="G42">
        <v>16</v>
      </c>
      <c r="H42">
        <v>2067</v>
      </c>
      <c r="I42">
        <f t="shared" si="0"/>
        <v>33072</v>
      </c>
    </row>
    <row r="43" spans="1:9" x14ac:dyDescent="0.25">
      <c r="A43" t="s">
        <v>107</v>
      </c>
      <c r="B43" t="s">
        <v>108</v>
      </c>
      <c r="C43" t="str">
        <f>TEXT(Table1[[#This Row],[Date]],"mmm")</f>
        <v>Nov</v>
      </c>
      <c r="D43" t="s">
        <v>15</v>
      </c>
      <c r="E43" t="s">
        <v>57</v>
      </c>
      <c r="F43" t="s">
        <v>17</v>
      </c>
      <c r="G43">
        <v>26</v>
      </c>
      <c r="H43">
        <v>2538</v>
      </c>
      <c r="I43">
        <f t="shared" si="0"/>
        <v>65988</v>
      </c>
    </row>
    <row r="44" spans="1:9" x14ac:dyDescent="0.25">
      <c r="A44" t="s">
        <v>109</v>
      </c>
      <c r="B44" t="s">
        <v>110</v>
      </c>
      <c r="C44" t="str">
        <f>TEXT(Table1[[#This Row],[Date]],"mmm")</f>
        <v>Feb</v>
      </c>
      <c r="D44" t="s">
        <v>20</v>
      </c>
      <c r="E44" t="s">
        <v>11</v>
      </c>
      <c r="F44" t="s">
        <v>12</v>
      </c>
      <c r="G44">
        <v>28</v>
      </c>
      <c r="H44">
        <v>1894</v>
      </c>
      <c r="I44">
        <f t="shared" si="0"/>
        <v>53032</v>
      </c>
    </row>
    <row r="45" spans="1:9" x14ac:dyDescent="0.25">
      <c r="A45" t="s">
        <v>111</v>
      </c>
      <c r="B45" t="s">
        <v>63</v>
      </c>
      <c r="C45" t="str">
        <f>TEXT(Table1[[#This Row],[Date]],"mmm")</f>
        <v>Mar</v>
      </c>
      <c r="D45" t="s">
        <v>24</v>
      </c>
      <c r="E45" t="s">
        <v>11</v>
      </c>
      <c r="F45" t="s">
        <v>35</v>
      </c>
      <c r="G45">
        <v>22</v>
      </c>
      <c r="H45">
        <v>2118</v>
      </c>
      <c r="I45">
        <f t="shared" si="0"/>
        <v>46596</v>
      </c>
    </row>
    <row r="46" spans="1:9" x14ac:dyDescent="0.25">
      <c r="A46" t="s">
        <v>112</v>
      </c>
      <c r="B46" t="s">
        <v>113</v>
      </c>
      <c r="C46" t="str">
        <f>TEXT(Table1[[#This Row],[Date]],"mmm")</f>
        <v>Feb</v>
      </c>
      <c r="D46" t="s">
        <v>24</v>
      </c>
      <c r="E46" t="s">
        <v>16</v>
      </c>
      <c r="F46" t="s">
        <v>32</v>
      </c>
      <c r="G46">
        <v>19</v>
      </c>
      <c r="H46">
        <v>1711</v>
      </c>
      <c r="I46">
        <f t="shared" si="0"/>
        <v>32509</v>
      </c>
    </row>
    <row r="47" spans="1:9" x14ac:dyDescent="0.25">
      <c r="A47" t="s">
        <v>114</v>
      </c>
      <c r="B47" t="s">
        <v>91</v>
      </c>
      <c r="C47" t="str">
        <f>TEXT(Table1[[#This Row],[Date]],"mmm")</f>
        <v>Oct</v>
      </c>
      <c r="D47" t="s">
        <v>15</v>
      </c>
      <c r="E47" t="s">
        <v>57</v>
      </c>
      <c r="F47" t="s">
        <v>12</v>
      </c>
      <c r="G47">
        <v>6</v>
      </c>
      <c r="H47">
        <v>2535</v>
      </c>
      <c r="I47">
        <f t="shared" si="0"/>
        <v>15210</v>
      </c>
    </row>
    <row r="48" spans="1:9" x14ac:dyDescent="0.25">
      <c r="A48" t="s">
        <v>115</v>
      </c>
      <c r="B48" t="s">
        <v>116</v>
      </c>
      <c r="C48" t="str">
        <f>TEXT(Table1[[#This Row],[Date]],"mmm")</f>
        <v>Sep</v>
      </c>
      <c r="D48" t="s">
        <v>24</v>
      </c>
      <c r="E48" t="s">
        <v>11</v>
      </c>
      <c r="F48" t="s">
        <v>17</v>
      </c>
      <c r="G48">
        <v>10</v>
      </c>
      <c r="H48">
        <v>2032</v>
      </c>
      <c r="I48">
        <f t="shared" si="0"/>
        <v>20320</v>
      </c>
    </row>
    <row r="49" spans="1:9" x14ac:dyDescent="0.25">
      <c r="A49" t="s">
        <v>117</v>
      </c>
      <c r="B49" t="s">
        <v>89</v>
      </c>
      <c r="C49" t="str">
        <f>TEXT(Table1[[#This Row],[Date]],"mmm")</f>
        <v>Mar</v>
      </c>
      <c r="D49" t="s">
        <v>24</v>
      </c>
      <c r="E49" t="s">
        <v>57</v>
      </c>
      <c r="F49" t="s">
        <v>17</v>
      </c>
      <c r="G49">
        <v>33</v>
      </c>
      <c r="H49">
        <v>1320</v>
      </c>
      <c r="I49">
        <f t="shared" si="0"/>
        <v>43560</v>
      </c>
    </row>
    <row r="50" spans="1:9" x14ac:dyDescent="0.25">
      <c r="A50" t="s">
        <v>118</v>
      </c>
      <c r="B50" t="s">
        <v>119</v>
      </c>
      <c r="C50" t="str">
        <f>TEXT(Table1[[#This Row],[Date]],"mmm")</f>
        <v>Aug</v>
      </c>
      <c r="D50" t="s">
        <v>10</v>
      </c>
      <c r="E50" t="s">
        <v>38</v>
      </c>
      <c r="F50" t="s">
        <v>25</v>
      </c>
      <c r="G50">
        <v>13</v>
      </c>
      <c r="H50">
        <v>3097</v>
      </c>
      <c r="I50">
        <f t="shared" si="0"/>
        <v>40261</v>
      </c>
    </row>
    <row r="51" spans="1:9" x14ac:dyDescent="0.25">
      <c r="A51" t="s">
        <v>120</v>
      </c>
      <c r="B51" t="s">
        <v>121</v>
      </c>
      <c r="C51" t="str">
        <f>TEXT(Table1[[#This Row],[Date]],"mmm")</f>
        <v>Jun</v>
      </c>
      <c r="D51" t="s">
        <v>20</v>
      </c>
      <c r="E51" t="s">
        <v>57</v>
      </c>
      <c r="F51" t="s">
        <v>21</v>
      </c>
      <c r="G51">
        <v>9</v>
      </c>
      <c r="H51">
        <v>1588</v>
      </c>
      <c r="I51">
        <f t="shared" si="0"/>
        <v>14292</v>
      </c>
    </row>
    <row r="52" spans="1:9" x14ac:dyDescent="0.25">
      <c r="A52" t="s">
        <v>122</v>
      </c>
      <c r="B52" t="s">
        <v>123</v>
      </c>
      <c r="C52" t="str">
        <f>TEXT(Table1[[#This Row],[Date]],"mmm")</f>
        <v>Jan</v>
      </c>
      <c r="D52" t="s">
        <v>15</v>
      </c>
      <c r="E52" t="s">
        <v>16</v>
      </c>
      <c r="F52" t="s">
        <v>25</v>
      </c>
      <c r="G52">
        <v>28</v>
      </c>
      <c r="H52">
        <v>1842</v>
      </c>
      <c r="I52">
        <f t="shared" si="0"/>
        <v>51576</v>
      </c>
    </row>
    <row r="53" spans="1:9" x14ac:dyDescent="0.25">
      <c r="A53" t="s">
        <v>124</v>
      </c>
      <c r="B53" t="s">
        <v>125</v>
      </c>
      <c r="C53" t="str">
        <f>TEXT(Table1[[#This Row],[Date]],"mmm")</f>
        <v>Sep</v>
      </c>
      <c r="D53" t="s">
        <v>20</v>
      </c>
      <c r="E53" t="s">
        <v>57</v>
      </c>
      <c r="F53" t="s">
        <v>32</v>
      </c>
      <c r="G53">
        <v>21</v>
      </c>
      <c r="H53">
        <v>3082</v>
      </c>
      <c r="I53">
        <f t="shared" si="0"/>
        <v>64722</v>
      </c>
    </row>
    <row r="54" spans="1:9" x14ac:dyDescent="0.25">
      <c r="A54" t="s">
        <v>126</v>
      </c>
      <c r="B54" t="s">
        <v>127</v>
      </c>
      <c r="C54" t="str">
        <f>TEXT(Table1[[#This Row],[Date]],"mmm")</f>
        <v>Feb</v>
      </c>
      <c r="D54" t="s">
        <v>15</v>
      </c>
      <c r="E54" t="s">
        <v>28</v>
      </c>
      <c r="F54" t="s">
        <v>12</v>
      </c>
      <c r="G54">
        <v>32</v>
      </c>
      <c r="H54">
        <v>1580</v>
      </c>
      <c r="I54">
        <f t="shared" si="0"/>
        <v>50560</v>
      </c>
    </row>
    <row r="55" spans="1:9" x14ac:dyDescent="0.25">
      <c r="A55" t="s">
        <v>128</v>
      </c>
      <c r="B55" t="s">
        <v>129</v>
      </c>
      <c r="C55" t="str">
        <f>TEXT(Table1[[#This Row],[Date]],"mmm")</f>
        <v>Oct</v>
      </c>
      <c r="D55" t="s">
        <v>20</v>
      </c>
      <c r="E55" t="s">
        <v>16</v>
      </c>
      <c r="F55" t="s">
        <v>21</v>
      </c>
      <c r="G55">
        <v>17</v>
      </c>
      <c r="H55">
        <v>1445</v>
      </c>
      <c r="I55">
        <f t="shared" si="0"/>
        <v>24565</v>
      </c>
    </row>
    <row r="56" spans="1:9" x14ac:dyDescent="0.25">
      <c r="A56" t="s">
        <v>130</v>
      </c>
      <c r="B56" t="s">
        <v>131</v>
      </c>
      <c r="C56" t="str">
        <f>TEXT(Table1[[#This Row],[Date]],"mmm")</f>
        <v>Aug</v>
      </c>
      <c r="D56" t="s">
        <v>10</v>
      </c>
      <c r="E56" t="s">
        <v>31</v>
      </c>
      <c r="F56" t="s">
        <v>12</v>
      </c>
      <c r="G56">
        <v>24</v>
      </c>
      <c r="H56">
        <v>1367</v>
      </c>
      <c r="I56">
        <f t="shared" si="0"/>
        <v>32808</v>
      </c>
    </row>
    <row r="57" spans="1:9" x14ac:dyDescent="0.25">
      <c r="A57" t="s">
        <v>132</v>
      </c>
      <c r="B57" t="s">
        <v>133</v>
      </c>
      <c r="C57" t="str">
        <f>TEXT(Table1[[#This Row],[Date]],"mmm")</f>
        <v>Jun</v>
      </c>
      <c r="D57" t="s">
        <v>20</v>
      </c>
      <c r="E57" t="s">
        <v>31</v>
      </c>
      <c r="F57" t="s">
        <v>17</v>
      </c>
      <c r="G57">
        <v>26</v>
      </c>
      <c r="H57">
        <v>2666</v>
      </c>
      <c r="I57">
        <f t="shared" si="0"/>
        <v>69316</v>
      </c>
    </row>
    <row r="58" spans="1:9" x14ac:dyDescent="0.25">
      <c r="A58" t="s">
        <v>134</v>
      </c>
      <c r="B58" t="s">
        <v>108</v>
      </c>
      <c r="C58" t="str">
        <f>TEXT(Table1[[#This Row],[Date]],"mmm")</f>
        <v>Nov</v>
      </c>
      <c r="D58" t="s">
        <v>10</v>
      </c>
      <c r="E58" t="s">
        <v>38</v>
      </c>
      <c r="F58" t="s">
        <v>47</v>
      </c>
      <c r="G58">
        <v>9</v>
      </c>
      <c r="H58">
        <v>2575</v>
      </c>
      <c r="I58">
        <f t="shared" si="0"/>
        <v>23175</v>
      </c>
    </row>
    <row r="59" spans="1:9" x14ac:dyDescent="0.25">
      <c r="A59" t="s">
        <v>135</v>
      </c>
      <c r="B59" t="s">
        <v>136</v>
      </c>
      <c r="C59" t="str">
        <f>TEXT(Table1[[#This Row],[Date]],"mmm")</f>
        <v>Feb</v>
      </c>
      <c r="D59" t="s">
        <v>15</v>
      </c>
      <c r="E59" t="s">
        <v>38</v>
      </c>
      <c r="F59" t="s">
        <v>32</v>
      </c>
      <c r="G59">
        <v>34</v>
      </c>
      <c r="H59">
        <v>2739</v>
      </c>
      <c r="I59">
        <f t="shared" si="0"/>
        <v>93126</v>
      </c>
    </row>
    <row r="60" spans="1:9" x14ac:dyDescent="0.25">
      <c r="A60" t="s">
        <v>137</v>
      </c>
      <c r="B60" t="s">
        <v>138</v>
      </c>
      <c r="C60" t="str">
        <f>TEXT(Table1[[#This Row],[Date]],"mmm")</f>
        <v>Apr</v>
      </c>
      <c r="D60" t="s">
        <v>10</v>
      </c>
      <c r="E60" t="s">
        <v>11</v>
      </c>
      <c r="F60" t="s">
        <v>47</v>
      </c>
      <c r="G60">
        <v>7</v>
      </c>
      <c r="H60">
        <v>2301</v>
      </c>
      <c r="I60">
        <f t="shared" si="0"/>
        <v>16107</v>
      </c>
    </row>
    <row r="61" spans="1:9" x14ac:dyDescent="0.25">
      <c r="A61" t="s">
        <v>139</v>
      </c>
      <c r="B61" t="s">
        <v>52</v>
      </c>
      <c r="C61" t="str">
        <f>TEXT(Table1[[#This Row],[Date]],"mmm")</f>
        <v>May</v>
      </c>
      <c r="D61" t="s">
        <v>10</v>
      </c>
      <c r="E61" t="s">
        <v>31</v>
      </c>
      <c r="F61" t="s">
        <v>50</v>
      </c>
      <c r="G61">
        <v>33</v>
      </c>
      <c r="H61">
        <v>1340</v>
      </c>
      <c r="I61">
        <f t="shared" si="0"/>
        <v>44220</v>
      </c>
    </row>
    <row r="62" spans="1:9" x14ac:dyDescent="0.25">
      <c r="A62" t="s">
        <v>140</v>
      </c>
      <c r="B62" t="s">
        <v>141</v>
      </c>
      <c r="C62" t="str">
        <f>TEXT(Table1[[#This Row],[Date]],"mmm")</f>
        <v>Oct</v>
      </c>
      <c r="D62" t="s">
        <v>10</v>
      </c>
      <c r="E62" t="s">
        <v>16</v>
      </c>
      <c r="F62" t="s">
        <v>21</v>
      </c>
      <c r="G62">
        <v>19</v>
      </c>
      <c r="H62">
        <v>2907</v>
      </c>
      <c r="I62">
        <f t="shared" si="0"/>
        <v>55233</v>
      </c>
    </row>
    <row r="63" spans="1:9" x14ac:dyDescent="0.25">
      <c r="A63" t="s">
        <v>142</v>
      </c>
      <c r="B63" t="s">
        <v>143</v>
      </c>
      <c r="C63" t="str">
        <f>TEXT(Table1[[#This Row],[Date]],"mmm")</f>
        <v>Oct</v>
      </c>
      <c r="D63" t="s">
        <v>10</v>
      </c>
      <c r="E63" t="s">
        <v>28</v>
      </c>
      <c r="F63" t="s">
        <v>32</v>
      </c>
      <c r="G63">
        <v>26</v>
      </c>
      <c r="H63">
        <v>2873</v>
      </c>
      <c r="I63">
        <f t="shared" si="0"/>
        <v>74698</v>
      </c>
    </row>
    <row r="64" spans="1:9" x14ac:dyDescent="0.25">
      <c r="A64" t="s">
        <v>144</v>
      </c>
      <c r="B64" t="s">
        <v>145</v>
      </c>
      <c r="C64" t="str">
        <f>TEXT(Table1[[#This Row],[Date]],"mmm")</f>
        <v>Mar</v>
      </c>
      <c r="D64" t="s">
        <v>10</v>
      </c>
      <c r="E64" t="s">
        <v>57</v>
      </c>
      <c r="F64" t="s">
        <v>32</v>
      </c>
      <c r="G64">
        <v>35</v>
      </c>
      <c r="H64">
        <v>2998</v>
      </c>
      <c r="I64">
        <f t="shared" si="0"/>
        <v>104930</v>
      </c>
    </row>
    <row r="65" spans="1:9" x14ac:dyDescent="0.25">
      <c r="A65" t="s">
        <v>146</v>
      </c>
      <c r="B65" t="s">
        <v>30</v>
      </c>
      <c r="C65" t="str">
        <f>TEXT(Table1[[#This Row],[Date]],"mmm")</f>
        <v>Mar</v>
      </c>
      <c r="D65" t="s">
        <v>10</v>
      </c>
      <c r="E65" t="s">
        <v>31</v>
      </c>
      <c r="F65" t="s">
        <v>12</v>
      </c>
      <c r="G65">
        <v>28</v>
      </c>
      <c r="H65">
        <v>2333</v>
      </c>
      <c r="I65">
        <f t="shared" si="0"/>
        <v>65324</v>
      </c>
    </row>
    <row r="66" spans="1:9" x14ac:dyDescent="0.25">
      <c r="A66" t="s">
        <v>147</v>
      </c>
      <c r="B66" t="s">
        <v>148</v>
      </c>
      <c r="C66" t="str">
        <f>TEXT(Table1[[#This Row],[Date]],"mmm")</f>
        <v>Apr</v>
      </c>
      <c r="D66" t="s">
        <v>10</v>
      </c>
      <c r="E66" t="s">
        <v>16</v>
      </c>
      <c r="F66" t="s">
        <v>25</v>
      </c>
      <c r="G66">
        <v>27</v>
      </c>
      <c r="H66">
        <v>1902</v>
      </c>
      <c r="I66">
        <f t="shared" si="0"/>
        <v>51354</v>
      </c>
    </row>
    <row r="67" spans="1:9" x14ac:dyDescent="0.25">
      <c r="A67" t="s">
        <v>149</v>
      </c>
      <c r="B67" t="s">
        <v>150</v>
      </c>
      <c r="C67" t="str">
        <f>TEXT(Table1[[#This Row],[Date]],"mmm")</f>
        <v>Jan</v>
      </c>
      <c r="D67" t="s">
        <v>15</v>
      </c>
      <c r="E67" t="s">
        <v>28</v>
      </c>
      <c r="F67" t="s">
        <v>17</v>
      </c>
      <c r="G67">
        <v>13</v>
      </c>
      <c r="H67">
        <v>3054</v>
      </c>
      <c r="I67">
        <f t="shared" ref="I67:I81" si="1">G67*H67</f>
        <v>39702</v>
      </c>
    </row>
    <row r="68" spans="1:9" x14ac:dyDescent="0.25">
      <c r="A68" t="s">
        <v>151</v>
      </c>
      <c r="B68" t="s">
        <v>152</v>
      </c>
      <c r="C68" t="str">
        <f>TEXT(Table1[[#This Row],[Date]],"mmm")</f>
        <v>Jan</v>
      </c>
      <c r="D68" t="s">
        <v>15</v>
      </c>
      <c r="E68" t="s">
        <v>31</v>
      </c>
      <c r="F68" t="s">
        <v>50</v>
      </c>
      <c r="G68">
        <v>31</v>
      </c>
      <c r="H68">
        <v>1766</v>
      </c>
      <c r="I68">
        <f t="shared" si="1"/>
        <v>54746</v>
      </c>
    </row>
    <row r="69" spans="1:9" x14ac:dyDescent="0.25">
      <c r="A69" t="s">
        <v>153</v>
      </c>
      <c r="B69" t="s">
        <v>81</v>
      </c>
      <c r="C69" t="str">
        <f>TEXT(Table1[[#This Row],[Date]],"mmm")</f>
        <v>Mar</v>
      </c>
      <c r="D69" t="s">
        <v>24</v>
      </c>
      <c r="E69" t="s">
        <v>16</v>
      </c>
      <c r="F69" t="s">
        <v>17</v>
      </c>
      <c r="G69">
        <v>25</v>
      </c>
      <c r="H69">
        <v>1736</v>
      </c>
      <c r="I69">
        <f t="shared" si="1"/>
        <v>43400</v>
      </c>
    </row>
    <row r="70" spans="1:9" x14ac:dyDescent="0.25">
      <c r="A70" t="s">
        <v>154</v>
      </c>
      <c r="B70" t="s">
        <v>83</v>
      </c>
      <c r="C70" t="str">
        <f>TEXT(Table1[[#This Row],[Date]],"mmm")</f>
        <v>Feb</v>
      </c>
      <c r="D70" t="s">
        <v>15</v>
      </c>
      <c r="E70" t="s">
        <v>28</v>
      </c>
      <c r="F70" t="s">
        <v>50</v>
      </c>
      <c r="G70">
        <v>22</v>
      </c>
      <c r="H70">
        <v>1219</v>
      </c>
      <c r="I70">
        <f t="shared" si="1"/>
        <v>26818</v>
      </c>
    </row>
    <row r="71" spans="1:9" x14ac:dyDescent="0.25">
      <c r="A71" t="s">
        <v>155</v>
      </c>
      <c r="B71" t="s">
        <v>156</v>
      </c>
      <c r="C71" t="str">
        <f>TEXT(Table1[[#This Row],[Date]],"mmm")</f>
        <v>Jul</v>
      </c>
      <c r="D71" t="s">
        <v>20</v>
      </c>
      <c r="E71" t="s">
        <v>38</v>
      </c>
      <c r="F71" t="s">
        <v>50</v>
      </c>
      <c r="G71">
        <v>22</v>
      </c>
      <c r="H71">
        <v>1273</v>
      </c>
      <c r="I71">
        <f t="shared" si="1"/>
        <v>28006</v>
      </c>
    </row>
    <row r="72" spans="1:9" x14ac:dyDescent="0.25">
      <c r="A72" t="s">
        <v>157</v>
      </c>
      <c r="B72" t="s">
        <v>46</v>
      </c>
      <c r="C72" t="str">
        <f>TEXT(Table1[[#This Row],[Date]],"mmm")</f>
        <v>Jul</v>
      </c>
      <c r="D72" t="s">
        <v>15</v>
      </c>
      <c r="E72" t="s">
        <v>31</v>
      </c>
      <c r="F72" t="s">
        <v>12</v>
      </c>
      <c r="G72">
        <v>6</v>
      </c>
      <c r="H72">
        <v>1831</v>
      </c>
      <c r="I72">
        <f t="shared" si="1"/>
        <v>10986</v>
      </c>
    </row>
    <row r="73" spans="1:9" x14ac:dyDescent="0.25">
      <c r="A73" t="s">
        <v>158</v>
      </c>
      <c r="B73" t="s">
        <v>159</v>
      </c>
      <c r="C73" t="str">
        <f>TEXT(Table1[[#This Row],[Date]],"mmm")</f>
        <v>Dec</v>
      </c>
      <c r="D73" t="s">
        <v>15</v>
      </c>
      <c r="E73" t="s">
        <v>31</v>
      </c>
      <c r="F73" t="s">
        <v>17</v>
      </c>
      <c r="G73">
        <v>26</v>
      </c>
      <c r="H73">
        <v>1711</v>
      </c>
      <c r="I73">
        <f t="shared" si="1"/>
        <v>44486</v>
      </c>
    </row>
    <row r="74" spans="1:9" x14ac:dyDescent="0.25">
      <c r="A74" t="s">
        <v>160</v>
      </c>
      <c r="B74" t="s">
        <v>30</v>
      </c>
      <c r="C74" t="str">
        <f>TEXT(Table1[[#This Row],[Date]],"mmm")</f>
        <v>Mar</v>
      </c>
      <c r="D74" t="s">
        <v>20</v>
      </c>
      <c r="E74" t="s">
        <v>11</v>
      </c>
      <c r="F74" t="s">
        <v>50</v>
      </c>
      <c r="G74">
        <v>24</v>
      </c>
      <c r="H74">
        <v>2734</v>
      </c>
      <c r="I74">
        <f t="shared" si="1"/>
        <v>65616</v>
      </c>
    </row>
    <row r="75" spans="1:9" x14ac:dyDescent="0.25">
      <c r="A75" t="s">
        <v>161</v>
      </c>
      <c r="B75" t="s">
        <v>9</v>
      </c>
      <c r="C75" t="str">
        <f>TEXT(Table1[[#This Row],[Date]],"mmm")</f>
        <v>Jan</v>
      </c>
      <c r="D75" t="s">
        <v>20</v>
      </c>
      <c r="E75" t="s">
        <v>28</v>
      </c>
      <c r="F75" t="s">
        <v>47</v>
      </c>
      <c r="G75">
        <v>33</v>
      </c>
      <c r="H75">
        <v>2044</v>
      </c>
      <c r="I75">
        <f t="shared" si="1"/>
        <v>67452</v>
      </c>
    </row>
    <row r="76" spans="1:9" x14ac:dyDescent="0.25">
      <c r="A76" t="s">
        <v>162</v>
      </c>
      <c r="B76" t="s">
        <v>106</v>
      </c>
      <c r="C76" t="str">
        <f>TEXT(Table1[[#This Row],[Date]],"mmm")</f>
        <v>Jul</v>
      </c>
      <c r="D76" t="s">
        <v>20</v>
      </c>
      <c r="E76" t="s">
        <v>31</v>
      </c>
      <c r="F76" t="s">
        <v>50</v>
      </c>
      <c r="G76">
        <v>30</v>
      </c>
      <c r="H76">
        <v>3106</v>
      </c>
      <c r="I76">
        <f t="shared" si="1"/>
        <v>93180</v>
      </c>
    </row>
    <row r="77" spans="1:9" x14ac:dyDescent="0.25">
      <c r="A77" t="s">
        <v>163</v>
      </c>
      <c r="B77" t="s">
        <v>110</v>
      </c>
      <c r="C77" t="str">
        <f>TEXT(Table1[[#This Row],[Date]],"mmm")</f>
        <v>Feb</v>
      </c>
      <c r="D77" t="s">
        <v>24</v>
      </c>
      <c r="E77" t="s">
        <v>57</v>
      </c>
      <c r="F77" t="s">
        <v>25</v>
      </c>
      <c r="G77">
        <v>30</v>
      </c>
      <c r="H77">
        <v>2636</v>
      </c>
      <c r="I77">
        <f t="shared" si="1"/>
        <v>79080</v>
      </c>
    </row>
    <row r="78" spans="1:9" x14ac:dyDescent="0.25">
      <c r="A78" t="s">
        <v>164</v>
      </c>
      <c r="B78" t="s">
        <v>37</v>
      </c>
      <c r="C78" t="str">
        <f>TEXT(Table1[[#This Row],[Date]],"mmm")</f>
        <v>Aug</v>
      </c>
      <c r="D78" t="s">
        <v>10</v>
      </c>
      <c r="E78" t="s">
        <v>31</v>
      </c>
      <c r="F78" t="s">
        <v>12</v>
      </c>
      <c r="G78">
        <v>12</v>
      </c>
      <c r="H78">
        <v>1608</v>
      </c>
      <c r="I78">
        <f t="shared" si="1"/>
        <v>19296</v>
      </c>
    </row>
    <row r="79" spans="1:9" x14ac:dyDescent="0.25">
      <c r="A79" t="s">
        <v>165</v>
      </c>
      <c r="B79" t="s">
        <v>166</v>
      </c>
      <c r="C79" t="str">
        <f>TEXT(Table1[[#This Row],[Date]],"mmm")</f>
        <v>Dec</v>
      </c>
      <c r="D79" t="s">
        <v>20</v>
      </c>
      <c r="E79" t="s">
        <v>38</v>
      </c>
      <c r="F79" t="s">
        <v>47</v>
      </c>
      <c r="G79">
        <v>12</v>
      </c>
      <c r="H79">
        <v>1248</v>
      </c>
      <c r="I79">
        <f t="shared" si="1"/>
        <v>14976</v>
      </c>
    </row>
    <row r="80" spans="1:9" x14ac:dyDescent="0.25">
      <c r="A80" t="s">
        <v>167</v>
      </c>
      <c r="B80" t="s">
        <v>127</v>
      </c>
      <c r="C80" t="str">
        <f>TEXT(Table1[[#This Row],[Date]],"mmm")</f>
        <v>Feb</v>
      </c>
      <c r="D80" t="s">
        <v>10</v>
      </c>
      <c r="E80" t="s">
        <v>31</v>
      </c>
      <c r="F80" t="s">
        <v>17</v>
      </c>
      <c r="G80">
        <v>13</v>
      </c>
      <c r="H80">
        <v>2970</v>
      </c>
      <c r="I80">
        <f t="shared" si="1"/>
        <v>38610</v>
      </c>
    </row>
    <row r="81" spans="1:9" x14ac:dyDescent="0.25">
      <c r="A81" t="s">
        <v>168</v>
      </c>
      <c r="B81" t="s">
        <v>169</v>
      </c>
      <c r="C81" t="str">
        <f>TEXT(Table1[[#This Row],[Date]],"mmm")</f>
        <v>Dec</v>
      </c>
      <c r="D81" t="s">
        <v>10</v>
      </c>
      <c r="E81" t="s">
        <v>57</v>
      </c>
      <c r="F81" t="s">
        <v>32</v>
      </c>
      <c r="G81">
        <v>1</v>
      </c>
      <c r="H81">
        <v>1</v>
      </c>
      <c r="I81">
        <f t="shared" si="1"/>
        <v>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5" zoomScaleNormal="85" workbookViewId="0">
      <selection activeCell="X32" sqref="X32"/>
    </sheetView>
  </sheetViews>
  <sheetFormatPr defaultRowHeight="15" x14ac:dyDescent="0.25"/>
  <sheetData/>
  <pageMargins left="0.75" right="0.75" top="1" bottom="1" header="0.5" footer="0.5"/>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5"/>
  <sheetViews>
    <sheetView showGridLines="0" zoomScale="85" zoomScaleNormal="85" workbookViewId="0">
      <selection activeCell="X33" sqref="X33"/>
    </sheetView>
  </sheetViews>
  <sheetFormatPr defaultRowHeight="15" x14ac:dyDescent="0.25"/>
  <sheetData>
    <row r="5" spans="1:1" x14ac:dyDescent="0.25">
      <c r="A5"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5" zoomScaleNormal="85" workbookViewId="0">
      <selection activeCell="X31" sqref="X3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
  <sheetViews>
    <sheetView showGridLines="0" zoomScale="85" zoomScaleNormal="85" workbookViewId="0"/>
  </sheetViews>
  <sheetFormatPr defaultRowHeight="15" x14ac:dyDescent="0.25"/>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Y57"/>
  <sheetViews>
    <sheetView topLeftCell="N1" workbookViewId="0">
      <selection activeCell="B23" sqref="B23"/>
    </sheetView>
  </sheetViews>
  <sheetFormatPr defaultRowHeight="15" x14ac:dyDescent="0.25"/>
  <cols>
    <col min="1" max="1" width="13.140625" customWidth="1"/>
    <col min="2" max="2" width="17.28515625" customWidth="1"/>
    <col min="3" max="5" width="19.5703125" customWidth="1"/>
    <col min="6" max="6" width="10.7109375" customWidth="1"/>
    <col min="7" max="7" width="6.85546875" customWidth="1"/>
    <col min="8" max="8" width="13.140625" customWidth="1"/>
    <col min="9" max="9" width="17.28515625" customWidth="1"/>
    <col min="10" max="10" width="19.5703125" customWidth="1"/>
    <col min="11" max="13" width="10.7109375" customWidth="1"/>
    <col min="14" max="14" width="6.42578125" customWidth="1"/>
    <col min="15" max="15" width="13.140625" customWidth="1"/>
    <col min="16" max="17" width="10.7109375" customWidth="1"/>
    <col min="18" max="18" width="13.140625" customWidth="1"/>
    <col min="19" max="19" width="19.5703125" customWidth="1"/>
    <col min="20" max="20" width="7.42578125" customWidth="1"/>
    <col min="21" max="22" width="13.140625" customWidth="1"/>
    <col min="23" max="24" width="10.7109375" customWidth="1"/>
    <col min="25" max="26" width="9.140625" customWidth="1"/>
    <col min="27" max="27" width="4.5703125" customWidth="1"/>
    <col min="28" max="28" width="10.7109375" customWidth="1"/>
    <col min="29" max="29" width="20.28515625" customWidth="1"/>
    <col min="30" max="47" width="3" customWidth="1"/>
    <col min="48" max="48" width="11.28515625" bestFit="1" customWidth="1"/>
  </cols>
  <sheetData>
    <row r="6" spans="1:25" x14ac:dyDescent="0.25">
      <c r="W6" t="s">
        <v>186</v>
      </c>
    </row>
    <row r="7" spans="1:25" x14ac:dyDescent="0.25">
      <c r="W7" s="3">
        <v>3449450</v>
      </c>
      <c r="Y7">
        <f>GETPIVOTDATA("Total Sales",$W$6)</f>
        <v>3449450</v>
      </c>
    </row>
    <row r="11" spans="1:25" x14ac:dyDescent="0.25">
      <c r="W11" t="s">
        <v>172</v>
      </c>
    </row>
    <row r="12" spans="1:25" x14ac:dyDescent="0.25">
      <c r="A12" s="1" t="s">
        <v>170</v>
      </c>
      <c r="B12" t="s">
        <v>172</v>
      </c>
      <c r="H12" s="1" t="s">
        <v>170</v>
      </c>
      <c r="I12" t="s">
        <v>172</v>
      </c>
      <c r="O12" s="1" t="s">
        <v>170</v>
      </c>
      <c r="P12" t="s">
        <v>172</v>
      </c>
      <c r="W12" s="3">
        <v>1634</v>
      </c>
      <c r="X12" s="3"/>
      <c r="Y12">
        <f>GETPIVOTDATA("Qty",$W$11)</f>
        <v>1634</v>
      </c>
    </row>
    <row r="13" spans="1:25" x14ac:dyDescent="0.25">
      <c r="A13" s="2" t="s">
        <v>57</v>
      </c>
      <c r="B13" s="3">
        <v>287</v>
      </c>
      <c r="C13" s="3"/>
      <c r="D13" s="3"/>
      <c r="E13" s="3"/>
      <c r="F13" s="3"/>
      <c r="G13" s="3"/>
      <c r="H13" s="2" t="s">
        <v>57</v>
      </c>
      <c r="I13" s="3">
        <v>287</v>
      </c>
      <c r="J13" s="3"/>
      <c r="O13" s="2" t="s">
        <v>57</v>
      </c>
      <c r="P13" s="3">
        <v>287</v>
      </c>
      <c r="Q13" s="3"/>
    </row>
    <row r="14" spans="1:25" x14ac:dyDescent="0.25">
      <c r="A14" s="2" t="s">
        <v>11</v>
      </c>
      <c r="B14" s="3">
        <v>186</v>
      </c>
      <c r="C14" s="3"/>
      <c r="D14" s="3"/>
      <c r="E14" s="3"/>
      <c r="F14" s="3"/>
      <c r="G14" s="3"/>
      <c r="H14" s="2" t="s">
        <v>11</v>
      </c>
      <c r="I14" s="3">
        <v>186</v>
      </c>
      <c r="J14" s="3"/>
      <c r="O14" s="2" t="s">
        <v>11</v>
      </c>
      <c r="P14" s="3">
        <v>186</v>
      </c>
      <c r="Q14" s="3"/>
    </row>
    <row r="15" spans="1:25" x14ac:dyDescent="0.25">
      <c r="A15" s="2" t="s">
        <v>31</v>
      </c>
      <c r="B15" s="3">
        <v>452</v>
      </c>
      <c r="C15" s="3"/>
      <c r="D15" s="3"/>
      <c r="E15" s="3"/>
      <c r="H15" s="2" t="s">
        <v>31</v>
      </c>
      <c r="I15" s="3">
        <v>452</v>
      </c>
      <c r="J15" s="3"/>
      <c r="O15" s="2" t="s">
        <v>31</v>
      </c>
      <c r="P15" s="3">
        <v>452</v>
      </c>
      <c r="Q15" s="3"/>
    </row>
    <row r="16" spans="1:25" x14ac:dyDescent="0.25">
      <c r="A16" s="2" t="s">
        <v>38</v>
      </c>
      <c r="B16" s="3">
        <v>159</v>
      </c>
      <c r="C16" s="3"/>
      <c r="D16" s="3"/>
      <c r="E16" s="3"/>
      <c r="H16" s="2" t="s">
        <v>38</v>
      </c>
      <c r="I16" s="3">
        <v>159</v>
      </c>
      <c r="J16" s="3"/>
      <c r="O16" s="2" t="s">
        <v>38</v>
      </c>
      <c r="P16" s="3">
        <v>159</v>
      </c>
      <c r="Q16" s="3"/>
    </row>
    <row r="17" spans="1:17" x14ac:dyDescent="0.25">
      <c r="A17" s="2" t="s">
        <v>16</v>
      </c>
      <c r="B17" s="3">
        <v>274</v>
      </c>
      <c r="C17" s="3"/>
      <c r="D17" s="3"/>
      <c r="E17" s="3"/>
      <c r="H17" s="2" t="s">
        <v>16</v>
      </c>
      <c r="I17" s="3">
        <v>274</v>
      </c>
      <c r="O17" s="2" t="s">
        <v>16</v>
      </c>
      <c r="P17" s="3">
        <v>274</v>
      </c>
    </row>
    <row r="18" spans="1:17" x14ac:dyDescent="0.25">
      <c r="A18" s="2" t="s">
        <v>28</v>
      </c>
      <c r="B18" s="3">
        <v>276</v>
      </c>
      <c r="C18" s="3"/>
      <c r="D18" s="3"/>
      <c r="E18" s="3"/>
      <c r="H18" s="2" t="s">
        <v>28</v>
      </c>
      <c r="I18" s="3">
        <v>276</v>
      </c>
      <c r="O18" s="2" t="s">
        <v>28</v>
      </c>
      <c r="P18" s="3">
        <v>276</v>
      </c>
    </row>
    <row r="19" spans="1:17" x14ac:dyDescent="0.25">
      <c r="A19" s="2" t="s">
        <v>171</v>
      </c>
      <c r="B19" s="3">
        <v>1634</v>
      </c>
      <c r="C19" s="3"/>
      <c r="D19" s="3"/>
      <c r="E19" s="3"/>
      <c r="H19" s="2" t="s">
        <v>171</v>
      </c>
      <c r="I19" s="3">
        <v>1634</v>
      </c>
      <c r="O19" s="2" t="s">
        <v>171</v>
      </c>
      <c r="P19" s="3">
        <v>1634</v>
      </c>
    </row>
    <row r="26" spans="1:17" x14ac:dyDescent="0.25">
      <c r="A26" s="1" t="s">
        <v>170</v>
      </c>
      <c r="B26" t="s">
        <v>186</v>
      </c>
    </row>
    <row r="27" spans="1:17" x14ac:dyDescent="0.25">
      <c r="A27" s="2" t="s">
        <v>47</v>
      </c>
      <c r="B27" s="3">
        <v>368009</v>
      </c>
      <c r="C27" s="3"/>
      <c r="D27" s="3"/>
      <c r="E27" s="3"/>
    </row>
    <row r="28" spans="1:17" x14ac:dyDescent="0.25">
      <c r="A28" s="2" t="s">
        <v>21</v>
      </c>
      <c r="B28" s="3">
        <v>215668</v>
      </c>
      <c r="C28" s="3"/>
      <c r="D28" s="3"/>
      <c r="E28" s="3"/>
    </row>
    <row r="29" spans="1:17" x14ac:dyDescent="0.25">
      <c r="A29" s="2" t="s">
        <v>12</v>
      </c>
      <c r="B29" s="3">
        <v>478861</v>
      </c>
      <c r="C29" s="3"/>
      <c r="D29" s="3"/>
      <c r="E29" s="3"/>
      <c r="H29" s="1" t="s">
        <v>170</v>
      </c>
      <c r="I29" t="s">
        <v>186</v>
      </c>
      <c r="O29" s="1" t="s">
        <v>170</v>
      </c>
      <c r="P29" t="s">
        <v>186</v>
      </c>
    </row>
    <row r="30" spans="1:17" x14ac:dyDescent="0.25">
      <c r="A30" s="2" t="s">
        <v>50</v>
      </c>
      <c r="B30" s="3">
        <v>362168</v>
      </c>
      <c r="C30" s="3"/>
      <c r="D30" s="3"/>
      <c r="E30" s="3"/>
      <c r="H30" s="2" t="s">
        <v>32</v>
      </c>
      <c r="I30" s="3">
        <v>567629</v>
      </c>
      <c r="J30" s="3"/>
      <c r="O30" s="2" t="s">
        <v>21</v>
      </c>
      <c r="P30" s="3">
        <v>215668</v>
      </c>
      <c r="Q30" s="3"/>
    </row>
    <row r="31" spans="1:17" x14ac:dyDescent="0.25">
      <c r="A31" s="2" t="s">
        <v>35</v>
      </c>
      <c r="B31" s="3">
        <v>232116</v>
      </c>
      <c r="C31" s="3"/>
      <c r="D31" s="3"/>
      <c r="E31" s="3"/>
      <c r="H31" s="2" t="s">
        <v>17</v>
      </c>
      <c r="I31" s="3">
        <v>704900</v>
      </c>
      <c r="J31" s="3"/>
      <c r="O31" s="2" t="s">
        <v>50</v>
      </c>
      <c r="P31" s="3">
        <v>362168</v>
      </c>
      <c r="Q31" s="3"/>
    </row>
    <row r="32" spans="1:17" x14ac:dyDescent="0.25">
      <c r="A32" s="2" t="s">
        <v>32</v>
      </c>
      <c r="B32" s="3">
        <v>567629</v>
      </c>
      <c r="C32" s="3"/>
      <c r="D32" s="3"/>
      <c r="E32" s="3"/>
      <c r="H32" s="2" t="s">
        <v>25</v>
      </c>
      <c r="I32" s="3">
        <v>520099</v>
      </c>
      <c r="J32" s="3"/>
      <c r="O32" s="2" t="s">
        <v>35</v>
      </c>
      <c r="P32" s="3">
        <v>232116</v>
      </c>
      <c r="Q32" s="3"/>
    </row>
    <row r="33" spans="1:17" x14ac:dyDescent="0.25">
      <c r="A33" s="2" t="s">
        <v>17</v>
      </c>
      <c r="B33" s="3">
        <v>704900</v>
      </c>
      <c r="C33" s="3"/>
      <c r="D33" s="3"/>
      <c r="E33" s="3"/>
      <c r="H33" s="2" t="s">
        <v>171</v>
      </c>
      <c r="I33" s="3">
        <v>1792628</v>
      </c>
      <c r="J33" s="3"/>
      <c r="O33" s="2" t="s">
        <v>171</v>
      </c>
      <c r="P33" s="3">
        <v>809952</v>
      </c>
      <c r="Q33" s="3"/>
    </row>
    <row r="34" spans="1:17" x14ac:dyDescent="0.25">
      <c r="A34" s="2" t="s">
        <v>25</v>
      </c>
      <c r="B34" s="3">
        <v>520099</v>
      </c>
      <c r="C34" s="3"/>
      <c r="D34" s="3"/>
      <c r="E34" s="3"/>
    </row>
    <row r="35" spans="1:17" x14ac:dyDescent="0.25">
      <c r="A35" s="2" t="s">
        <v>171</v>
      </c>
      <c r="B35" s="3">
        <v>3449450</v>
      </c>
      <c r="C35" s="3"/>
      <c r="D35" s="3"/>
      <c r="E35" s="3"/>
    </row>
    <row r="44" spans="1:17" x14ac:dyDescent="0.25">
      <c r="A44" s="1" t="s">
        <v>170</v>
      </c>
      <c r="B44" t="s">
        <v>186</v>
      </c>
      <c r="H44" s="1" t="s">
        <v>170</v>
      </c>
      <c r="I44" t="s">
        <v>186</v>
      </c>
      <c r="O44" s="1" t="s">
        <v>170</v>
      </c>
      <c r="P44" t="s">
        <v>186</v>
      </c>
    </row>
    <row r="45" spans="1:17" x14ac:dyDescent="0.25">
      <c r="A45" s="2" t="s">
        <v>57</v>
      </c>
      <c r="B45" s="3">
        <v>686047</v>
      </c>
      <c r="C45" s="3"/>
      <c r="D45" s="3"/>
      <c r="E45" s="3"/>
      <c r="H45" s="2" t="s">
        <v>15</v>
      </c>
      <c r="I45" s="3">
        <v>805190</v>
      </c>
      <c r="J45" s="3"/>
      <c r="O45" s="2" t="s">
        <v>173</v>
      </c>
      <c r="P45" s="3">
        <v>565798</v>
      </c>
      <c r="Q45" s="3"/>
    </row>
    <row r="46" spans="1:17" x14ac:dyDescent="0.25">
      <c r="A46" s="2" t="s">
        <v>11</v>
      </c>
      <c r="B46" s="3">
        <v>347206</v>
      </c>
      <c r="C46" s="3"/>
      <c r="D46" s="3"/>
      <c r="E46" s="3"/>
      <c r="H46" s="2" t="s">
        <v>20</v>
      </c>
      <c r="I46" s="3">
        <v>1189441</v>
      </c>
      <c r="J46" s="3"/>
      <c r="O46" s="2" t="s">
        <v>174</v>
      </c>
      <c r="P46" s="3">
        <v>652128</v>
      </c>
      <c r="Q46" s="3"/>
    </row>
    <row r="47" spans="1:17" x14ac:dyDescent="0.25">
      <c r="A47" s="2" t="s">
        <v>31</v>
      </c>
      <c r="B47" s="3">
        <v>914351</v>
      </c>
      <c r="C47" s="3"/>
      <c r="D47" s="3"/>
      <c r="E47" s="3"/>
      <c r="H47" s="2" t="s">
        <v>10</v>
      </c>
      <c r="I47" s="3">
        <v>890832</v>
      </c>
      <c r="J47" s="3"/>
      <c r="O47" s="2" t="s">
        <v>175</v>
      </c>
      <c r="P47" s="3">
        <v>558408</v>
      </c>
      <c r="Q47" s="3"/>
    </row>
    <row r="48" spans="1:17" x14ac:dyDescent="0.25">
      <c r="A48" s="2" t="s">
        <v>38</v>
      </c>
      <c r="B48" s="3">
        <v>341205</v>
      </c>
      <c r="C48" s="3"/>
      <c r="D48" s="3"/>
      <c r="E48" s="3"/>
      <c r="H48" s="2" t="s">
        <v>24</v>
      </c>
      <c r="I48" s="3">
        <v>563987</v>
      </c>
      <c r="J48" s="3"/>
      <c r="O48" s="2" t="s">
        <v>176</v>
      </c>
      <c r="P48" s="3">
        <v>195789</v>
      </c>
      <c r="Q48" s="3"/>
    </row>
    <row r="49" spans="1:17" x14ac:dyDescent="0.25">
      <c r="A49" s="2" t="s">
        <v>16</v>
      </c>
      <c r="B49" s="3">
        <v>557009</v>
      </c>
      <c r="C49" s="3"/>
      <c r="D49" s="3"/>
      <c r="E49" s="3"/>
      <c r="H49" s="2" t="s">
        <v>171</v>
      </c>
      <c r="I49" s="3">
        <v>3449450</v>
      </c>
      <c r="J49" s="3"/>
      <c r="O49" s="2" t="s">
        <v>177</v>
      </c>
      <c r="P49" s="3">
        <v>131758</v>
      </c>
      <c r="Q49" s="3"/>
    </row>
    <row r="50" spans="1:17" x14ac:dyDescent="0.25">
      <c r="A50" s="2" t="s">
        <v>28</v>
      </c>
      <c r="B50" s="3">
        <v>603632</v>
      </c>
      <c r="C50" s="3"/>
      <c r="D50" s="3"/>
      <c r="E50" s="3"/>
      <c r="O50" s="2" t="s">
        <v>178</v>
      </c>
      <c r="P50" s="3">
        <v>156456</v>
      </c>
      <c r="Q50" s="3"/>
    </row>
    <row r="51" spans="1:17" x14ac:dyDescent="0.25">
      <c r="A51" s="2" t="s">
        <v>171</v>
      </c>
      <c r="B51" s="3">
        <v>3449450</v>
      </c>
      <c r="C51" s="3"/>
      <c r="D51" s="3"/>
      <c r="E51" s="3"/>
      <c r="O51" s="2" t="s">
        <v>179</v>
      </c>
      <c r="P51" s="3">
        <v>237944</v>
      </c>
      <c r="Q51" s="3"/>
    </row>
    <row r="52" spans="1:17" x14ac:dyDescent="0.25">
      <c r="O52" s="2" t="s">
        <v>180</v>
      </c>
      <c r="P52" s="3">
        <v>198121</v>
      </c>
      <c r="Q52" s="3"/>
    </row>
    <row r="53" spans="1:17" x14ac:dyDescent="0.25">
      <c r="O53" s="2" t="s">
        <v>181</v>
      </c>
      <c r="P53" s="3">
        <v>174762</v>
      </c>
      <c r="Q53" s="3"/>
    </row>
    <row r="54" spans="1:17" x14ac:dyDescent="0.25">
      <c r="O54" s="2" t="s">
        <v>182</v>
      </c>
      <c r="P54" s="3">
        <v>237019</v>
      </c>
      <c r="Q54" s="3"/>
    </row>
    <row r="55" spans="1:17" x14ac:dyDescent="0.25">
      <c r="O55" s="2" t="s">
        <v>183</v>
      </c>
      <c r="P55" s="3">
        <v>281804</v>
      </c>
      <c r="Q55" s="3"/>
    </row>
    <row r="56" spans="1:17" x14ac:dyDescent="0.25">
      <c r="O56" s="2" t="s">
        <v>184</v>
      </c>
      <c r="P56" s="3">
        <v>59463</v>
      </c>
      <c r="Q56" s="3"/>
    </row>
    <row r="57" spans="1:17" x14ac:dyDescent="0.25">
      <c r="O57" s="2" t="s">
        <v>171</v>
      </c>
      <c r="P57" s="3">
        <v>3449450</v>
      </c>
      <c r="Q57" s="3"/>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DASHBOARD</vt:lpstr>
      <vt:lpstr>PRODUCT</vt:lpstr>
      <vt:lpstr>SALESPERSON</vt:lpstr>
      <vt:lpstr>CONCLUSION</vt:lpstr>
      <vt:lpstr>PVT. 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cp:lastPrinted>2026-05-22T20:37:58Z</cp:lastPrinted>
  <dcterms:created xsi:type="dcterms:W3CDTF">2026-05-21T12:53:24Z</dcterms:created>
  <dcterms:modified xsi:type="dcterms:W3CDTF">2026-05-23T17:28:41Z</dcterms:modified>
</cp:coreProperties>
</file>