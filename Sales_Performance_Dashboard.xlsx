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Default Extension="wdp" ContentType="image/vnd.ms-photo"/>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drawings/drawing2.xml" ContentType="application/vnd.openxmlformats-officedocument.drawing+xml"/>
  <Override PartName="/xl/slicers/slicer2.xml" ContentType="application/vnd.ms-excel.slicer+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drawings/drawing3.xml" ContentType="application/vnd.openxmlformats-officedocument.drawing+xml"/>
  <Override PartName="/xl/slicers/slicer3.xml" ContentType="application/vnd.ms-excel.slicer+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drawings/drawing4.xml" ContentType="application/vnd.openxmlformats-officedocument.drawing+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drawings/drawing5.xml" ContentType="application/vnd.openxmlformats-officedocument.drawing+xml"/>
  <Override PartName="/xl/slicers/slicer4.xml" ContentType="application/vnd.ms-excel.slicer+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5" lowestEdited="5" rupBuild="9302"/>
  <workbookPr/>
  <bookViews>
    <workbookView xWindow="150" yWindow="555" windowWidth="15015" windowHeight="5835" activeTab="1"/>
  </bookViews>
  <sheets>
    <sheet name="Raw_Data" sheetId="1" r:id="rId1"/>
    <sheet name="DASHBOARD" sheetId="2" r:id="rId2"/>
    <sheet name="PRODUCT" sheetId="12" r:id="rId3"/>
    <sheet name="SALESPERSON" sheetId="10" r:id="rId4"/>
    <sheet name="CONCLUSION" sheetId="8" r:id="rId5"/>
    <sheet name="PVT. TABLE" sheetId="4" state="hidden" r:id="rId6"/>
  </sheets>
  <definedNames>
    <definedName name="Slicer_Month">#N/A</definedName>
    <definedName name="Slicer_Product">#N/A</definedName>
    <definedName name="Slicer_Region">#N/A</definedName>
  </definedNames>
  <calcPr calcId="144525"/>
  <pivotCaches>
    <pivotCache cacheId="0" r:id="rId7"/>
  </pivotCaches>
  <extLst>
    <ext xmlns:x14="http://schemas.microsoft.com/office/spreadsheetml/2009/9/main" uri="{BBE1A952-AA13-448e-AADC-164F8A28A991}">
      <x14:slicerCaches>
        <x14:slicerCache r:id="rId8"/>
        <x14:slicerCache r:id="rId9"/>
        <x14:slicerCache r:id="rId10"/>
      </x14:slicerCaches>
    </ext>
    <ext xmlns:x14="http://schemas.microsoft.com/office/spreadsheetml/2009/9/main" uri="{79F54976-1DA5-4618-B147-4CDE4B953A38}">
      <x14:workbookPr/>
    </ext>
  </extLst>
</workbook>
</file>

<file path=xl/calcChain.xml><?xml version="1.0" encoding="utf-8"?>
<calcChain xmlns="http://schemas.openxmlformats.org/spreadsheetml/2006/main">
  <c r="K12" i="1" l="1"/>
  <c r="M9" i="1"/>
  <c r="K7" i="1"/>
  <c r="Y7" i="4"/>
  <c r="I81" i="1" l="1"/>
  <c r="C81" i="1"/>
  <c r="I80" i="1"/>
  <c r="C80" i="1"/>
  <c r="I79" i="1"/>
  <c r="C79" i="1"/>
  <c r="I78" i="1"/>
  <c r="C78" i="1"/>
  <c r="I77" i="1"/>
  <c r="C77" i="1"/>
  <c r="I76" i="1"/>
  <c r="C76" i="1"/>
  <c r="I75" i="1"/>
  <c r="C75" i="1"/>
  <c r="I74" i="1"/>
  <c r="C74" i="1"/>
  <c r="I73" i="1"/>
  <c r="C73" i="1"/>
  <c r="I72" i="1"/>
  <c r="C72" i="1"/>
  <c r="I71" i="1"/>
  <c r="C71" i="1"/>
  <c r="I70" i="1"/>
  <c r="C70" i="1"/>
  <c r="I69" i="1"/>
  <c r="C69" i="1"/>
  <c r="I68" i="1"/>
  <c r="C68" i="1"/>
  <c r="I67" i="1"/>
  <c r="C67" i="1"/>
  <c r="I66" i="1"/>
  <c r="C66" i="1"/>
  <c r="I65" i="1"/>
  <c r="C65" i="1"/>
  <c r="I64" i="1"/>
  <c r="C64" i="1"/>
  <c r="I63" i="1"/>
  <c r="C63" i="1"/>
  <c r="I62" i="1"/>
  <c r="C62" i="1"/>
  <c r="I61" i="1"/>
  <c r="C61" i="1"/>
  <c r="I60" i="1"/>
  <c r="C60" i="1"/>
  <c r="I59" i="1"/>
  <c r="C59" i="1"/>
  <c r="I58" i="1"/>
  <c r="C58" i="1"/>
  <c r="I57" i="1"/>
  <c r="C57" i="1"/>
  <c r="I56" i="1"/>
  <c r="C56" i="1"/>
  <c r="I55" i="1"/>
  <c r="C55" i="1"/>
  <c r="I54" i="1"/>
  <c r="C54" i="1"/>
  <c r="I53" i="1"/>
  <c r="C53" i="1"/>
  <c r="I52" i="1"/>
  <c r="C52" i="1"/>
  <c r="I51" i="1"/>
  <c r="C51" i="1"/>
  <c r="I50" i="1"/>
  <c r="C50" i="1"/>
  <c r="I49" i="1"/>
  <c r="C49" i="1"/>
  <c r="I48" i="1"/>
  <c r="C48" i="1"/>
  <c r="I47" i="1"/>
  <c r="C47" i="1"/>
  <c r="I46" i="1"/>
  <c r="C46" i="1"/>
  <c r="I45" i="1"/>
  <c r="C45" i="1"/>
  <c r="I44" i="1"/>
  <c r="C44" i="1"/>
  <c r="I43" i="1"/>
  <c r="C43" i="1"/>
  <c r="I42" i="1"/>
  <c r="C42" i="1"/>
  <c r="I41" i="1"/>
  <c r="C41" i="1"/>
  <c r="I40" i="1"/>
  <c r="C40" i="1"/>
  <c r="I39" i="1"/>
  <c r="C39" i="1"/>
  <c r="I38" i="1"/>
  <c r="C38" i="1"/>
  <c r="I37" i="1"/>
  <c r="C37" i="1"/>
  <c r="I36" i="1"/>
  <c r="C36" i="1"/>
  <c r="I35" i="1"/>
  <c r="C35" i="1"/>
  <c r="I34" i="1"/>
  <c r="C34" i="1"/>
  <c r="I33" i="1"/>
  <c r="C33" i="1"/>
  <c r="I32" i="1"/>
  <c r="C32" i="1"/>
  <c r="I31" i="1"/>
  <c r="C31" i="1"/>
  <c r="I30" i="1"/>
  <c r="C30" i="1"/>
  <c r="I29" i="1"/>
  <c r="C29" i="1"/>
  <c r="I28" i="1"/>
  <c r="C28" i="1"/>
  <c r="I27" i="1"/>
  <c r="C27" i="1"/>
  <c r="I26" i="1"/>
  <c r="C26" i="1"/>
  <c r="I25" i="1"/>
  <c r="C25" i="1"/>
  <c r="I24" i="1"/>
  <c r="C24" i="1"/>
  <c r="I23" i="1"/>
  <c r="C23" i="1"/>
  <c r="I22" i="1"/>
  <c r="C22" i="1"/>
  <c r="I21" i="1"/>
  <c r="C21" i="1"/>
  <c r="I20" i="1"/>
  <c r="C20" i="1"/>
  <c r="I19" i="1"/>
  <c r="C19" i="1"/>
  <c r="I18" i="1"/>
  <c r="C18" i="1"/>
  <c r="I17" i="1"/>
  <c r="C17" i="1"/>
  <c r="I16" i="1"/>
  <c r="C16" i="1"/>
  <c r="I15" i="1"/>
  <c r="C15" i="1"/>
  <c r="I14" i="1"/>
  <c r="C14" i="1"/>
  <c r="I13" i="1"/>
  <c r="C13" i="1"/>
  <c r="I12" i="1"/>
  <c r="C12" i="1"/>
  <c r="I11" i="1"/>
  <c r="C11" i="1"/>
  <c r="I10" i="1"/>
  <c r="C10" i="1"/>
  <c r="I9" i="1"/>
  <c r="C9" i="1"/>
  <c r="I8" i="1"/>
  <c r="C8" i="1"/>
  <c r="I7" i="1"/>
  <c r="C7" i="1"/>
  <c r="I6" i="1"/>
  <c r="C6" i="1"/>
  <c r="I5" i="1"/>
  <c r="C5" i="1"/>
  <c r="I4" i="1"/>
  <c r="C4" i="1"/>
  <c r="I3" i="1"/>
  <c r="C3" i="1"/>
  <c r="I2" i="1"/>
  <c r="C2" i="1"/>
  <c r="Y12" i="4"/>
</calcChain>
</file>

<file path=xl/sharedStrings.xml><?xml version="1.0" encoding="utf-8"?>
<sst xmlns="http://schemas.openxmlformats.org/spreadsheetml/2006/main" count="486" uniqueCount="187">
  <si>
    <t>Order ID</t>
  </si>
  <si>
    <t>Date</t>
  </si>
  <si>
    <t>Month</t>
  </si>
  <si>
    <t>Region</t>
  </si>
  <si>
    <t>Product</t>
  </si>
  <si>
    <t>Salesperson</t>
  </si>
  <si>
    <t>Qty</t>
  </si>
  <si>
    <t>Unit Price</t>
  </si>
  <si>
    <t>ORD0001</t>
  </si>
  <si>
    <t>13-Jan-2021</t>
  </si>
  <si>
    <t>South</t>
  </si>
  <si>
    <t>Monitor</t>
  </si>
  <si>
    <t>Karan</t>
  </si>
  <si>
    <t>ORD0002</t>
  </si>
  <si>
    <t>22-Feb-2021</t>
  </si>
  <si>
    <t>East</t>
  </si>
  <si>
    <t>Scanner</t>
  </si>
  <si>
    <t>Simran</t>
  </si>
  <si>
    <t>ORD0003</t>
  </si>
  <si>
    <t>17-Feb-2021</t>
  </si>
  <si>
    <t>North</t>
  </si>
  <si>
    <t>Amit</t>
  </si>
  <si>
    <t>ORD0004</t>
  </si>
  <si>
    <t>29-Nov-2021</t>
  </si>
  <si>
    <t>West</t>
  </si>
  <si>
    <t>Vikas</t>
  </si>
  <si>
    <t>ORD0005</t>
  </si>
  <si>
    <t>04-Jan-2021</t>
  </si>
  <si>
    <t>Speaker</t>
  </si>
  <si>
    <t>ORD0006</t>
  </si>
  <si>
    <t>21-Mar-2021</t>
  </si>
  <si>
    <t>Mouse</t>
  </si>
  <si>
    <t>Ravi</t>
  </si>
  <si>
    <t>ORD0007</t>
  </si>
  <si>
    <t>19-Feb-2021</t>
  </si>
  <si>
    <t>Pooja</t>
  </si>
  <si>
    <t>ORD0008</t>
  </si>
  <si>
    <t>24-Aug-2021</t>
  </si>
  <si>
    <t>Printer</t>
  </si>
  <si>
    <t>ORD0009</t>
  </si>
  <si>
    <t>18-Nov-2021</t>
  </si>
  <si>
    <t>ORD0010</t>
  </si>
  <si>
    <t>24-Jan-2021</t>
  </si>
  <si>
    <t>ORD0011</t>
  </si>
  <si>
    <t>21-Feb-2021</t>
  </si>
  <si>
    <t>ORD0012</t>
  </si>
  <si>
    <t>06-Jul-2021</t>
  </si>
  <si>
    <t>Ajay</t>
  </si>
  <si>
    <t>ORD0013</t>
  </si>
  <si>
    <t>17-May-2021</t>
  </si>
  <si>
    <t>Neha</t>
  </si>
  <si>
    <t>ORD0014</t>
  </si>
  <si>
    <t>06-May-2021</t>
  </si>
  <si>
    <t>ORD0015</t>
  </si>
  <si>
    <t>24-Nov-2021</t>
  </si>
  <si>
    <t>ORD0016</t>
  </si>
  <si>
    <t>29-Jan-2021</t>
  </si>
  <si>
    <t>Keyboard</t>
  </si>
  <si>
    <t>ORD0017</t>
  </si>
  <si>
    <t>03-Feb-2021</t>
  </si>
  <si>
    <t>ORD0018</t>
  </si>
  <si>
    <t>13-Sep-2021</t>
  </si>
  <si>
    <t>ORD0019</t>
  </si>
  <si>
    <t>13-Mar-2021</t>
  </si>
  <si>
    <t>ORD0020</t>
  </si>
  <si>
    <t>08-Aug-2021</t>
  </si>
  <si>
    <t>ORD0021</t>
  </si>
  <si>
    <t>10-Sep-2021</t>
  </si>
  <si>
    <t>ORD0022</t>
  </si>
  <si>
    <t>23-Mar-2021</t>
  </si>
  <si>
    <t>ORD0023</t>
  </si>
  <si>
    <t>02-Nov-2021</t>
  </si>
  <si>
    <t>ORD0024</t>
  </si>
  <si>
    <t>06-Jan-2021</t>
  </si>
  <si>
    <t>ORD0025</t>
  </si>
  <si>
    <t>24-Jun-2021</t>
  </si>
  <si>
    <t>ORD0026</t>
  </si>
  <si>
    <t>02-Jan-2021</t>
  </si>
  <si>
    <t>ORD0027</t>
  </si>
  <si>
    <t>24-Feb-2021</t>
  </si>
  <si>
    <t>ORD0028</t>
  </si>
  <si>
    <t>24-Mar-2021</t>
  </si>
  <si>
    <t>ORD0029</t>
  </si>
  <si>
    <t>27-Feb-2021</t>
  </si>
  <si>
    <t>ORD0030</t>
  </si>
  <si>
    <t>18-Oct-2021</t>
  </si>
  <si>
    <t>ORD0031</t>
  </si>
  <si>
    <t>30-Sep-2021</t>
  </si>
  <si>
    <t>ORD0032</t>
  </si>
  <si>
    <t>26-Mar-2021</t>
  </si>
  <si>
    <t>ORD0033</t>
  </si>
  <si>
    <t>04-Oct-2021</t>
  </si>
  <si>
    <t>ORD0034</t>
  </si>
  <si>
    <t>ORD0035</t>
  </si>
  <si>
    <t>26-Apr-2021</t>
  </si>
  <si>
    <t>ORD0036</t>
  </si>
  <si>
    <t>28-Apr-2021</t>
  </si>
  <si>
    <t>ORD0037</t>
  </si>
  <si>
    <t>31-Jan-2021</t>
  </si>
  <si>
    <t>ORD0038</t>
  </si>
  <si>
    <t>06-Feb-2021</t>
  </si>
  <si>
    <t>ORD0039</t>
  </si>
  <si>
    <t>09-Mar-2021</t>
  </si>
  <si>
    <t>ORD0040</t>
  </si>
  <si>
    <t>08-Apr-2021</t>
  </si>
  <si>
    <t>ORD0041</t>
  </si>
  <si>
    <t>30-Jul-2021</t>
  </si>
  <si>
    <t>ORD0042</t>
  </si>
  <si>
    <t>27-Nov-2021</t>
  </si>
  <si>
    <t>ORD0043</t>
  </si>
  <si>
    <t>25-Feb-2021</t>
  </si>
  <si>
    <t>ORD0044</t>
  </si>
  <si>
    <t>ORD0045</t>
  </si>
  <si>
    <t>08-Feb-2021</t>
  </si>
  <si>
    <t>ORD0046</t>
  </si>
  <si>
    <t>ORD0047</t>
  </si>
  <si>
    <t>06-Sep-2021</t>
  </si>
  <si>
    <t>ORD0048</t>
  </si>
  <si>
    <t>ORD0049</t>
  </si>
  <si>
    <t>21-Aug-2021</t>
  </si>
  <si>
    <t>ORD0050</t>
  </si>
  <si>
    <t>01-Jun-2021</t>
  </si>
  <si>
    <t>ORD0051</t>
  </si>
  <si>
    <t>30-Jan-2021</t>
  </si>
  <si>
    <t>ORD0052</t>
  </si>
  <si>
    <t>29-Sep-2021</t>
  </si>
  <si>
    <t>ORD0053</t>
  </si>
  <si>
    <t>05-Feb-2021</t>
  </si>
  <si>
    <t>ORD0054</t>
  </si>
  <si>
    <t>19-Oct-2021</t>
  </si>
  <si>
    <t>ORD0055</t>
  </si>
  <si>
    <t>03-Aug-2021</t>
  </si>
  <si>
    <t>ORD0056</t>
  </si>
  <si>
    <t>10-Jun-2021</t>
  </si>
  <si>
    <t>ORD0057</t>
  </si>
  <si>
    <t>ORD0058</t>
  </si>
  <si>
    <t>07-Feb-2021</t>
  </si>
  <si>
    <t>ORD0059</t>
  </si>
  <si>
    <t>20-Apr-2021</t>
  </si>
  <si>
    <t>ORD0060</t>
  </si>
  <si>
    <t>ORD0061</t>
  </si>
  <si>
    <t>06-Oct-2021</t>
  </si>
  <si>
    <t>ORD0062</t>
  </si>
  <si>
    <t>11-Oct-2021</t>
  </si>
  <si>
    <t>ORD0063</t>
  </si>
  <si>
    <t>10-Mar-2021</t>
  </si>
  <si>
    <t>ORD0064</t>
  </si>
  <si>
    <t>ORD0065</t>
  </si>
  <si>
    <t>15-Apr-2021</t>
  </si>
  <si>
    <t>ORD0066</t>
  </si>
  <si>
    <t>27-Jan-2021</t>
  </si>
  <si>
    <t>ORD0067</t>
  </si>
  <si>
    <t>23-Jan-2021</t>
  </si>
  <si>
    <t>ORD0068</t>
  </si>
  <si>
    <t>ORD0069</t>
  </si>
  <si>
    <t>ORD0070</t>
  </si>
  <si>
    <t>09-Jul-2021</t>
  </si>
  <si>
    <t>ORD0071</t>
  </si>
  <si>
    <t>ORD0072</t>
  </si>
  <si>
    <t>08-Dec-2021</t>
  </si>
  <si>
    <t>ORD0073</t>
  </si>
  <si>
    <t>ORD0074</t>
  </si>
  <si>
    <t>ORD0075</t>
  </si>
  <si>
    <t>ORD0076</t>
  </si>
  <si>
    <t>ORD0077</t>
  </si>
  <si>
    <t>ORD0078</t>
  </si>
  <si>
    <t>04-Dec-2021</t>
  </si>
  <si>
    <t>ORD0079</t>
  </si>
  <si>
    <t>ORD0080</t>
  </si>
  <si>
    <t>17-Dec-2021</t>
  </si>
  <si>
    <t>Row Labels</t>
  </si>
  <si>
    <t>Grand Total</t>
  </si>
  <si>
    <t>Sum of Qty</t>
  </si>
  <si>
    <t>Jan</t>
  </si>
  <si>
    <t>Feb</t>
  </si>
  <si>
    <t>Mar</t>
  </si>
  <si>
    <t>Apr</t>
  </si>
  <si>
    <t>May</t>
  </si>
  <si>
    <t>Jun</t>
  </si>
  <si>
    <t>Jul</t>
  </si>
  <si>
    <t>Aug</t>
  </si>
  <si>
    <t>Sep</t>
  </si>
  <si>
    <t>Oct</t>
  </si>
  <si>
    <t>Nov</t>
  </si>
  <si>
    <t>Dec</t>
  </si>
  <si>
    <t>Total Sales</t>
  </si>
  <si>
    <t>Sum of Total Sales</t>
  </si>
</sst>
</file>

<file path=xl/styles.xml><?xml version="1.0" encoding="utf-8"?>
<styleSheet xmlns="http://schemas.openxmlformats.org/spreadsheetml/2006/main" xmlns:mc="http://schemas.openxmlformats.org/markup-compatibility/2006" xmlns:x14ac="http://schemas.microsoft.com/office/spreadsheetml/2009/9/ac" mc:Ignorable="x14ac">
  <fonts count="18" x14ac:knownFonts="1">
    <font>
      <sz val="11"/>
      <color theme="1"/>
      <name val="Calibri"/>
      <family val="2"/>
      <scheme val="minor"/>
    </font>
    <font>
      <sz val="11"/>
      <color theme="1"/>
      <name val="Calibri"/>
      <family val="2"/>
      <scheme val="minor"/>
    </font>
    <font>
      <b/>
      <sz val="18"/>
      <color theme="3"/>
      <name val="Cambria"/>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65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s>
  <fills count="3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0"/>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7"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7"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7"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7"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7"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7" fillId="32" borderId="0" applyNumberFormat="0" applyBorder="0" applyAlignment="0" applyProtection="0"/>
  </cellStyleXfs>
  <cellXfs count="5">
    <xf numFmtId="0" fontId="0" fillId="0" borderId="0" xfId="0"/>
    <xf numFmtId="0" fontId="0" fillId="0" borderId="0" xfId="0" pivotButton="1"/>
    <xf numFmtId="0" fontId="0" fillId="0" borderId="0" xfId="0" applyAlignment="1">
      <alignment horizontal="left"/>
    </xf>
    <xf numFmtId="0" fontId="0" fillId="0" borderId="0" xfId="0" applyNumberFormat="1"/>
    <xf numFmtId="0" fontId="0" fillId="33" borderId="0" xfId="0" applyFill="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0"/>
  <tableStyles count="0" defaultTableStyle="TableStyleMedium2" defaultPivotStyle="PivotStyleLight16"/>
  <colors>
    <mruColors>
      <color rgb="FFFF0066"/>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1.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microsoft.com/office/2007/relationships/slicerCache" Target="slicerCaches/slicerCache3.xml"/><Relationship Id="rId4" Type="http://schemas.openxmlformats.org/officeDocument/2006/relationships/worksheet" Target="worksheets/sheet4.xml"/><Relationship Id="rId9" Type="http://schemas.microsoft.com/office/2007/relationships/slicerCache" Target="slicerCaches/slicerCache2.xml"/><Relationship Id="rId14" Type="http://schemas.openxmlformats.org/officeDocument/2006/relationships/calcChain" Target="calcChain.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[Sales_Performance_Dashboard.xlsx]PVT. TABLE!PivotTable5</c:name>
    <c:fmtId val="19"/>
  </c:pivotSource>
  <c:chart>
    <c:title>
      <c:tx>
        <c:rich>
          <a:bodyPr/>
          <a:lstStyle/>
          <a:p>
            <a:pPr>
              <a:defRPr/>
            </a:pPr>
            <a:r>
              <a:rPr lang="en-US" sz="1200" b="0">
                <a:latin typeface="Arial" pitchFamily="34" charset="0"/>
                <a:cs typeface="Arial" pitchFamily="34" charset="0"/>
              </a:rPr>
              <a:t>SALES</a:t>
            </a:r>
            <a:r>
              <a:rPr lang="en-US" sz="1200" b="0" baseline="0">
                <a:latin typeface="Arial" pitchFamily="34" charset="0"/>
                <a:cs typeface="Arial" pitchFamily="34" charset="0"/>
              </a:rPr>
              <a:t> BY PRODUCT</a:t>
            </a:r>
            <a:endParaRPr lang="en-US" sz="1200" b="0">
              <a:latin typeface="Arial" pitchFamily="34" charset="0"/>
              <a:cs typeface="Arial" pitchFamily="34" charset="0"/>
            </a:endParaRPr>
          </a:p>
        </c:rich>
      </c:tx>
      <c:layout/>
      <c:overlay val="0"/>
    </c:title>
    <c:autoTitleDeleted val="0"/>
    <c:pivotFmts>
      <c:pivotFmt>
        <c:idx val="0"/>
        <c:spPr>
          <a:solidFill>
            <a:srgbClr val="FF3399"/>
          </a:solidFill>
        </c:spPr>
        <c:marker>
          <c:symbol val="none"/>
        </c:marker>
        <c:dLbl>
          <c:idx val="0"/>
          <c:spPr/>
          <c:txPr>
            <a:bodyPr/>
            <a:lstStyle/>
            <a:p>
              <a:pPr>
                <a:defRPr/>
              </a:pPr>
              <a:endParaRPr lang="en-US"/>
            </a:p>
          </c:txPr>
          <c:showLegendKey val="0"/>
          <c:showVal val="1"/>
          <c:showCatName val="0"/>
          <c:showSerName val="0"/>
          <c:showPercent val="0"/>
          <c:showBubbleSize val="0"/>
        </c:dLbl>
      </c:pivotFmt>
      <c:pivotFmt>
        <c:idx val="1"/>
        <c:spPr>
          <a:solidFill>
            <a:srgbClr val="FF3399"/>
          </a:solidFill>
        </c:spPr>
        <c:marker>
          <c:symbol val="none"/>
        </c:marker>
        <c:dLbl>
          <c:idx val="0"/>
          <c:spPr/>
          <c:txPr>
            <a:bodyPr/>
            <a:lstStyle/>
            <a:p>
              <a:pPr>
                <a:defRPr/>
              </a:pPr>
              <a:endParaRPr lang="en-US"/>
            </a:p>
          </c:txPr>
          <c:showLegendKey val="0"/>
          <c:showVal val="1"/>
          <c:showCatName val="0"/>
          <c:showSerName val="0"/>
          <c:showPercent val="0"/>
          <c:showBubbleSize val="0"/>
        </c:dLbl>
      </c:pivotFmt>
      <c:pivotFmt>
        <c:idx val="2"/>
        <c:spPr>
          <a:solidFill>
            <a:srgbClr val="FF0066"/>
          </a:solidFill>
        </c:spPr>
        <c:marker>
          <c:symbol val="none"/>
        </c:marker>
        <c:dLbl>
          <c:idx val="0"/>
          <c:spPr/>
          <c:txPr>
            <a:bodyPr/>
            <a:lstStyle/>
            <a:p>
              <a:pPr>
                <a:defRPr/>
              </a:pPr>
              <a:endParaRPr lang="en-US"/>
            </a:p>
          </c:txPr>
          <c:showLegendKey val="0"/>
          <c:showVal val="1"/>
          <c:showCatName val="0"/>
          <c:showSerName val="0"/>
          <c:showPercent val="0"/>
          <c:showBubbleSize val="0"/>
        </c:dLbl>
      </c:pivotFmt>
      <c:pivotFmt>
        <c:idx val="3"/>
        <c:spPr>
          <a:solidFill>
            <a:srgbClr val="FF0066"/>
          </a:solidFill>
        </c:spPr>
        <c:marker>
          <c:symbol val="none"/>
        </c:marker>
      </c:pivotFmt>
    </c:pivotFmts>
    <c:plotArea>
      <c:layout/>
      <c:barChart>
        <c:barDir val="bar"/>
        <c:grouping val="clustered"/>
        <c:varyColors val="0"/>
        <c:ser>
          <c:idx val="0"/>
          <c:order val="0"/>
          <c:tx>
            <c:strRef>
              <c:f>'PVT. TABLE'!$B$44</c:f>
              <c:strCache>
                <c:ptCount val="1"/>
                <c:pt idx="0">
                  <c:v>Total</c:v>
                </c:pt>
              </c:strCache>
            </c:strRef>
          </c:tx>
          <c:spPr>
            <a:solidFill>
              <a:srgbClr val="FF0066"/>
            </a:solidFill>
          </c:spPr>
          <c:invertIfNegative val="0"/>
          <c:cat>
            <c:strRef>
              <c:f>'PVT. TABLE'!$A$45:$A$51</c:f>
              <c:strCache>
                <c:ptCount val="6"/>
                <c:pt idx="0">
                  <c:v>Keyboard</c:v>
                </c:pt>
                <c:pt idx="1">
                  <c:v>Monitor</c:v>
                </c:pt>
                <c:pt idx="2">
                  <c:v>Mouse</c:v>
                </c:pt>
                <c:pt idx="3">
                  <c:v>Printer</c:v>
                </c:pt>
                <c:pt idx="4">
                  <c:v>Scanner</c:v>
                </c:pt>
                <c:pt idx="5">
                  <c:v>Speaker</c:v>
                </c:pt>
              </c:strCache>
            </c:strRef>
          </c:cat>
          <c:val>
            <c:numRef>
              <c:f>'PVT. TABLE'!$B$45:$B$51</c:f>
              <c:numCache>
                <c:formatCode>General</c:formatCode>
                <c:ptCount val="6"/>
                <c:pt idx="0">
                  <c:v>686047</c:v>
                </c:pt>
                <c:pt idx="1">
                  <c:v>347206</c:v>
                </c:pt>
                <c:pt idx="2">
                  <c:v>914351</c:v>
                </c:pt>
                <c:pt idx="3">
                  <c:v>341205</c:v>
                </c:pt>
                <c:pt idx="4">
                  <c:v>557009</c:v>
                </c:pt>
                <c:pt idx="5">
                  <c:v>603632</c:v>
                </c:pt>
              </c:numCache>
            </c:numRef>
          </c:val>
        </c:ser>
        <c:dLbls>
          <c:showLegendKey val="0"/>
          <c:showVal val="0"/>
          <c:showCatName val="0"/>
          <c:showSerName val="0"/>
          <c:showPercent val="0"/>
          <c:showBubbleSize val="0"/>
        </c:dLbls>
        <c:gapWidth val="150"/>
        <c:axId val="208695680"/>
        <c:axId val="208697216"/>
      </c:barChart>
      <c:catAx>
        <c:axId val="208695680"/>
        <c:scaling>
          <c:orientation val="minMax"/>
        </c:scaling>
        <c:delete val="0"/>
        <c:axPos val="l"/>
        <c:majorTickMark val="out"/>
        <c:minorTickMark val="none"/>
        <c:tickLblPos val="nextTo"/>
        <c:txPr>
          <a:bodyPr/>
          <a:lstStyle/>
          <a:p>
            <a:pPr>
              <a:defRPr>
                <a:latin typeface="Arial" pitchFamily="34" charset="0"/>
                <a:cs typeface="Arial" pitchFamily="34" charset="0"/>
              </a:defRPr>
            </a:pPr>
            <a:endParaRPr lang="en-US"/>
          </a:p>
        </c:txPr>
        <c:crossAx val="208697216"/>
        <c:crosses val="autoZero"/>
        <c:auto val="1"/>
        <c:lblAlgn val="ctr"/>
        <c:lblOffset val="100"/>
        <c:noMultiLvlLbl val="0"/>
      </c:catAx>
      <c:valAx>
        <c:axId val="208697216"/>
        <c:scaling>
          <c:orientation val="minMax"/>
        </c:scaling>
        <c:delete val="0"/>
        <c:axPos val="b"/>
        <c:numFmt formatCode="General" sourceLinked="1"/>
        <c:majorTickMark val="out"/>
        <c:minorTickMark val="none"/>
        <c:tickLblPos val="nextTo"/>
        <c:crossAx val="208695680"/>
        <c:crosses val="autoZero"/>
        <c:crossBetween val="between"/>
      </c:valAx>
    </c:plotArea>
    <c:legend>
      <c:legendPos val="r"/>
      <c:layout>
        <c:manualLayout>
          <c:xMode val="edge"/>
          <c:yMode val="edge"/>
          <c:x val="0.81470305439537261"/>
          <c:y val="0.14665877272252525"/>
          <c:w val="0.15714218754552586"/>
          <c:h val="0.13576637860960625"/>
        </c:manualLayout>
      </c:layout>
      <c:overlay val="0"/>
    </c:legend>
    <c:plotVisOnly val="1"/>
    <c:dispBlanksAs val="gap"/>
    <c:showDLblsOverMax val="0"/>
  </c:chart>
  <c:spPr>
    <a:solidFill>
      <a:sysClr val="window" lastClr="FFFFFF"/>
    </a:solidFill>
    <a:ln>
      <a:solidFill>
        <a:schemeClr val="bg1"/>
      </a:solidFill>
    </a:ln>
  </c:spPr>
  <c:printSettings>
    <c:headerFooter/>
    <c:pageMargins b="0.75" l="0.7" r="0.7" t="0.75" header="0.3" footer="0.3"/>
    <c:pageSetup/>
  </c:printSettings>
  <c:extLst>
    <c:ext xmlns:c14="http://schemas.microsoft.com/office/drawing/2007/8/2/chart" uri="{781A3756-C4B2-4CAC-9D66-4F8BD8637D16}">
      <c14:pivotOptions>
        <c14:dropZoneFilter val="1"/>
        <c14:dropZoneSeries val="1"/>
        <c14:dropZonesVisible val="1"/>
      </c14:pivotOptions>
    </c:ext>
  </c:extLst>
</c:chartSpace>
</file>

<file path=xl/charts/chart2.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[Sales_Performance_Dashboard.xlsx]PVT. TABLE!PivotTable6</c:name>
    <c:fmtId val="22"/>
  </c:pivotSource>
  <c:chart>
    <c:title>
      <c:tx>
        <c:rich>
          <a:bodyPr/>
          <a:lstStyle/>
          <a:p>
            <a:pPr>
              <a:defRPr sz="1200" b="0">
                <a:latin typeface="Arial" pitchFamily="34" charset="0"/>
                <a:cs typeface="Arial" pitchFamily="34" charset="0"/>
              </a:defRPr>
            </a:pPr>
            <a:r>
              <a:rPr lang="en-US" sz="1200" b="0" i="0" baseline="0">
                <a:effectLst/>
                <a:latin typeface="Arial" pitchFamily="34" charset="0"/>
                <a:cs typeface="Arial" pitchFamily="34" charset="0"/>
              </a:rPr>
              <a:t>SALES BY REGION</a:t>
            </a:r>
            <a:endParaRPr lang="en-US" sz="1200" b="0">
              <a:effectLst/>
              <a:latin typeface="Arial" pitchFamily="34" charset="0"/>
              <a:cs typeface="Arial" pitchFamily="34" charset="0"/>
            </a:endParaRPr>
          </a:p>
        </c:rich>
      </c:tx>
      <c:layout/>
      <c:overlay val="0"/>
      <c:spPr>
        <a:solidFill>
          <a:schemeClr val="bg1"/>
        </a:solidFill>
        <a:ln>
          <a:solidFill>
            <a:schemeClr val="bg1"/>
          </a:solidFill>
        </a:ln>
      </c:spPr>
    </c:title>
    <c:autoTitleDeleted val="0"/>
    <c:pivotFmts>
      <c:pivotFmt>
        <c:idx val="0"/>
        <c:spPr>
          <a:solidFill>
            <a:srgbClr val="FF3399"/>
          </a:solidFill>
        </c:spPr>
      </c:pivotFmt>
      <c:pivotFmt>
        <c:idx val="1"/>
        <c:spPr>
          <a:solidFill>
            <a:srgbClr val="FF3399"/>
          </a:solidFill>
        </c:spPr>
        <c:marker>
          <c:symbol val="none"/>
        </c:marker>
      </c:pivotFmt>
      <c:pivotFmt>
        <c:idx val="2"/>
        <c:spPr>
          <a:solidFill>
            <a:srgbClr val="FF0066"/>
          </a:solidFill>
        </c:spPr>
        <c:marker>
          <c:symbol val="none"/>
        </c:marker>
        <c:dLbl>
          <c:idx val="0"/>
          <c:spPr/>
          <c:txPr>
            <a:bodyPr/>
            <a:lstStyle/>
            <a:p>
              <a:pPr>
                <a:defRPr/>
              </a:pPr>
              <a:endParaRPr lang="en-US"/>
            </a:p>
          </c:txPr>
          <c:showLegendKey val="0"/>
          <c:showVal val="1"/>
          <c:showCatName val="0"/>
          <c:showSerName val="0"/>
          <c:showPercent val="0"/>
          <c:showBubbleSize val="0"/>
        </c:dLbl>
      </c:pivotFmt>
      <c:pivotFmt>
        <c:idx val="3"/>
        <c:spPr>
          <a:solidFill>
            <a:srgbClr val="FF0066"/>
          </a:solidFill>
        </c:spPr>
        <c:marker>
          <c:symbol val="none"/>
        </c:marker>
      </c:pivotFmt>
    </c:pivotFmts>
    <c:plotArea>
      <c:layout>
        <c:manualLayout>
          <c:layoutTarget val="inner"/>
          <c:xMode val="edge"/>
          <c:yMode val="edge"/>
          <c:x val="0.23399866014565884"/>
          <c:y val="0.23655427263403703"/>
          <c:w val="0.71547503011797042"/>
          <c:h val="0.58867420598974629"/>
        </c:manualLayout>
      </c:layout>
      <c:barChart>
        <c:barDir val="col"/>
        <c:grouping val="clustered"/>
        <c:varyColors val="0"/>
        <c:ser>
          <c:idx val="0"/>
          <c:order val="0"/>
          <c:tx>
            <c:strRef>
              <c:f>'PVT. TABLE'!$I$44</c:f>
              <c:strCache>
                <c:ptCount val="1"/>
                <c:pt idx="0">
                  <c:v>Total</c:v>
                </c:pt>
              </c:strCache>
            </c:strRef>
          </c:tx>
          <c:spPr>
            <a:solidFill>
              <a:srgbClr val="FF0066"/>
            </a:solidFill>
          </c:spPr>
          <c:invertIfNegative val="0"/>
          <c:cat>
            <c:strRef>
              <c:f>'PVT. TABLE'!$H$45:$H$49</c:f>
              <c:strCache>
                <c:ptCount val="4"/>
                <c:pt idx="0">
                  <c:v>East</c:v>
                </c:pt>
                <c:pt idx="1">
                  <c:v>North</c:v>
                </c:pt>
                <c:pt idx="2">
                  <c:v>South</c:v>
                </c:pt>
                <c:pt idx="3">
                  <c:v>West</c:v>
                </c:pt>
              </c:strCache>
            </c:strRef>
          </c:cat>
          <c:val>
            <c:numRef>
              <c:f>'PVT. TABLE'!$I$45:$I$49</c:f>
              <c:numCache>
                <c:formatCode>General</c:formatCode>
                <c:ptCount val="4"/>
                <c:pt idx="0">
                  <c:v>805190</c:v>
                </c:pt>
                <c:pt idx="1">
                  <c:v>1189441</c:v>
                </c:pt>
                <c:pt idx="2">
                  <c:v>890832</c:v>
                </c:pt>
                <c:pt idx="3">
                  <c:v>563987</c:v>
                </c:pt>
              </c:numCache>
            </c:numRef>
          </c:val>
        </c:ser>
        <c:dLbls>
          <c:showLegendKey val="0"/>
          <c:showVal val="0"/>
          <c:showCatName val="0"/>
          <c:showSerName val="0"/>
          <c:showPercent val="0"/>
          <c:showBubbleSize val="0"/>
        </c:dLbls>
        <c:gapWidth val="150"/>
        <c:axId val="208723968"/>
        <c:axId val="208725504"/>
      </c:barChart>
      <c:catAx>
        <c:axId val="208723968"/>
        <c:scaling>
          <c:orientation val="minMax"/>
        </c:scaling>
        <c:delete val="0"/>
        <c:axPos val="b"/>
        <c:majorTickMark val="out"/>
        <c:minorTickMark val="none"/>
        <c:tickLblPos val="nextTo"/>
        <c:crossAx val="208725504"/>
        <c:crosses val="autoZero"/>
        <c:auto val="1"/>
        <c:lblAlgn val="ctr"/>
        <c:lblOffset val="100"/>
        <c:noMultiLvlLbl val="0"/>
      </c:catAx>
      <c:valAx>
        <c:axId val="208725504"/>
        <c:scaling>
          <c:orientation val="minMax"/>
        </c:scaling>
        <c:delete val="0"/>
        <c:axPos val="l"/>
        <c:numFmt formatCode="General" sourceLinked="1"/>
        <c:majorTickMark val="out"/>
        <c:minorTickMark val="none"/>
        <c:tickLblPos val="nextTo"/>
        <c:crossAx val="208723968"/>
        <c:crosses val="autoZero"/>
        <c:crossBetween val="between"/>
      </c:valAx>
    </c:plotArea>
    <c:legend>
      <c:legendPos val="r"/>
      <c:layout>
        <c:manualLayout>
          <c:xMode val="edge"/>
          <c:yMode val="edge"/>
          <c:x val="0.7897190618719433"/>
          <c:y val="0.19293884732623567"/>
          <c:w val="0.17833001244971955"/>
          <c:h val="0.13138681319767898"/>
        </c:manualLayout>
      </c:layout>
      <c:overlay val="0"/>
    </c:legend>
    <c:plotVisOnly val="1"/>
    <c:dispBlanksAs val="gap"/>
    <c:showDLblsOverMax val="0"/>
  </c:chart>
  <c:spPr>
    <a:ln>
      <a:solidFill>
        <a:schemeClr val="bg1"/>
      </a:solidFill>
    </a:ln>
  </c:spPr>
  <c:printSettings>
    <c:headerFooter/>
    <c:pageMargins b="0.75" l="0.7" r="0.7" t="0.75" header="0.3" footer="0.3"/>
    <c:pageSetup/>
  </c:printSettings>
  <c:extLst>
    <c:ext xmlns:c14="http://schemas.microsoft.com/office/drawing/2007/8/2/chart" uri="{781A3756-C4B2-4CAC-9D66-4F8BD8637D16}">
      <c14:pivotOptions>
        <c14:dropZoneFilter val="1"/>
        <c14:dropZoneSeries val="1"/>
        <c14:dropZonesVisible val="1"/>
      </c14:pivotOptions>
    </c:ext>
  </c:extLst>
</c:chartSpace>
</file>

<file path=xl/charts/chart3.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pivotSource>
    <c:name>[Sales_Performance_Dashboard.xlsx]PVT. TABLE!PivotTable7</c:name>
    <c:fmtId val="25"/>
  </c:pivotSource>
  <c:chart>
    <c:title>
      <c:tx>
        <c:rich>
          <a:bodyPr/>
          <a:lstStyle/>
          <a:p>
            <a:pPr>
              <a:defRPr/>
            </a:pPr>
            <a:r>
              <a:rPr lang="en-US" sz="1200" b="0"/>
              <a:t>SALES BY MONTH</a:t>
            </a:r>
          </a:p>
        </c:rich>
      </c:tx>
      <c:layout/>
      <c:overlay val="0"/>
    </c:title>
    <c:autoTitleDeleted val="0"/>
    <c:pivotFmts>
      <c:pivotFmt>
        <c:idx val="0"/>
        <c:marker>
          <c:symbol val="none"/>
        </c:marker>
      </c:pivotFmt>
      <c:pivotFmt>
        <c:idx val="1"/>
        <c:marker>
          <c:symbol val="none"/>
        </c:marker>
      </c:pivotFmt>
      <c:pivotFmt>
        <c:idx val="2"/>
        <c:spPr>
          <a:ln>
            <a:solidFill>
              <a:srgbClr val="FF0066"/>
            </a:solidFill>
          </a:ln>
        </c:spPr>
        <c:marker>
          <c:symbol val="none"/>
        </c:marker>
      </c:pivotFmt>
      <c:pivotFmt>
        <c:idx val="3"/>
        <c:spPr>
          <a:ln>
            <a:solidFill>
              <a:srgbClr val="FF0066"/>
            </a:solidFill>
          </a:ln>
        </c:spPr>
        <c:marker>
          <c:symbol val="none"/>
        </c:marker>
      </c:pivotFmt>
    </c:pivotFmts>
    <c:plotArea>
      <c:layout>
        <c:manualLayout>
          <c:layoutTarget val="inner"/>
          <c:xMode val="edge"/>
          <c:yMode val="edge"/>
          <c:x val="0.17451755253564719"/>
          <c:y val="0.24244896210308436"/>
          <c:w val="0.6173831305876526"/>
          <c:h val="0.54329294687136753"/>
        </c:manualLayout>
      </c:layout>
      <c:lineChart>
        <c:grouping val="standard"/>
        <c:varyColors val="0"/>
        <c:ser>
          <c:idx val="0"/>
          <c:order val="0"/>
          <c:tx>
            <c:strRef>
              <c:f>'PVT. TABLE'!$P$44</c:f>
              <c:strCache>
                <c:ptCount val="1"/>
                <c:pt idx="0">
                  <c:v>Total</c:v>
                </c:pt>
              </c:strCache>
            </c:strRef>
          </c:tx>
          <c:spPr>
            <a:ln>
              <a:solidFill>
                <a:srgbClr val="FF0066"/>
              </a:solidFill>
            </a:ln>
          </c:spPr>
          <c:marker>
            <c:symbol val="none"/>
          </c:marker>
          <c:cat>
            <c:strRef>
              <c:f>'PVT. TABLE'!$O$45:$O$57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'PVT. TABLE'!$P$45:$P$57</c:f>
              <c:numCache>
                <c:formatCode>General</c:formatCode>
                <c:ptCount val="12"/>
                <c:pt idx="0">
                  <c:v>565798</c:v>
                </c:pt>
                <c:pt idx="1">
                  <c:v>652128</c:v>
                </c:pt>
                <c:pt idx="2">
                  <c:v>558408</c:v>
                </c:pt>
                <c:pt idx="3">
                  <c:v>195789</c:v>
                </c:pt>
                <c:pt idx="4">
                  <c:v>131758</c:v>
                </c:pt>
                <c:pt idx="5">
                  <c:v>156456</c:v>
                </c:pt>
                <c:pt idx="6">
                  <c:v>237944</c:v>
                </c:pt>
                <c:pt idx="7">
                  <c:v>198121</c:v>
                </c:pt>
                <c:pt idx="8">
                  <c:v>174762</c:v>
                </c:pt>
                <c:pt idx="9">
                  <c:v>237019</c:v>
                </c:pt>
                <c:pt idx="10">
                  <c:v>281804</c:v>
                </c:pt>
                <c:pt idx="11">
                  <c:v>59463</c:v>
                </c:pt>
              </c:numCache>
            </c:numRef>
          </c:val>
          <c:smooth val="0"/>
        </c:ser>
        <c:dLbls>
          <c:showLegendKey val="0"/>
          <c:showVal val="0"/>
          <c:showCatName val="0"/>
          <c:showSerName val="0"/>
          <c:showPercent val="0"/>
          <c:showBubbleSize val="0"/>
        </c:dLbls>
        <c:marker val="1"/>
        <c:smooth val="0"/>
        <c:axId val="203258112"/>
        <c:axId val="203264000"/>
      </c:lineChart>
      <c:catAx>
        <c:axId val="203258112"/>
        <c:scaling>
          <c:orientation val="minMax"/>
        </c:scaling>
        <c:delete val="0"/>
        <c:axPos val="b"/>
        <c:majorTickMark val="out"/>
        <c:minorTickMark val="none"/>
        <c:tickLblPos val="nextTo"/>
        <c:crossAx val="203264000"/>
        <c:crosses val="autoZero"/>
        <c:auto val="1"/>
        <c:lblAlgn val="ctr"/>
        <c:lblOffset val="100"/>
        <c:noMultiLvlLbl val="0"/>
      </c:catAx>
      <c:valAx>
        <c:axId val="203264000"/>
        <c:scaling>
          <c:orientation val="minMax"/>
        </c:scaling>
        <c:delete val="0"/>
        <c:axPos val="l"/>
        <c:numFmt formatCode="General" sourceLinked="1"/>
        <c:majorTickMark val="out"/>
        <c:minorTickMark val="none"/>
        <c:tickLblPos val="nextTo"/>
        <c:crossAx val="203258112"/>
        <c:crosses val="autoZero"/>
        <c:crossBetween val="between"/>
      </c:valAx>
    </c:plotArea>
    <c:legend>
      <c:legendPos val="r"/>
      <c:layout>
        <c:manualLayout>
          <c:xMode val="edge"/>
          <c:yMode val="edge"/>
          <c:x val="0.76545624099245491"/>
          <c:y val="0.20286286840561368"/>
          <c:w val="0.19676598453490948"/>
          <c:h val="0.13138674102346062"/>
        </c:manualLayout>
      </c:layout>
      <c:overlay val="0"/>
    </c:legend>
    <c:plotVisOnly val="1"/>
    <c:dispBlanksAs val="gap"/>
    <c:showDLblsOverMax val="0"/>
  </c:chart>
  <c:spPr>
    <a:solidFill>
      <a:sysClr val="window" lastClr="FFFFFF"/>
    </a:solidFill>
    <a:ln>
      <a:solidFill>
        <a:schemeClr val="bg1"/>
      </a:solidFill>
    </a:ln>
  </c:spPr>
  <c:printSettings>
    <c:headerFooter/>
    <c:pageMargins b="0.75" l="0.7" r="0.7" t="0.75" header="0.3" footer="0.3"/>
    <c:pageSetup/>
  </c:printSettings>
  <c:extLst>
    <c:ext xmlns:c14="http://schemas.microsoft.com/office/drawing/2007/8/2/chart" uri="{781A3756-C4B2-4CAC-9D66-4F8BD8637D16}">
      <c14:pivotOptions>
        <c14:dropZoneFilter val="1"/>
        <c14:dropZoneSeries val="1"/>
        <c14:dropZonesVisible val="1"/>
      </c14:pivotOptions>
    </c:ext>
  </c:extLst>
</c:chartSpace>
</file>

<file path=xl/charts/chart4.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[Sales_Performance_Dashboard.xlsx]PVT. TABLE!PivotTable3</c:name>
    <c:fmtId val="22"/>
  </c:pivotSource>
  <c:chart>
    <c:title>
      <c:tx>
        <c:rich>
          <a:bodyPr/>
          <a:lstStyle/>
          <a:p>
            <a:pPr>
              <a:defRPr sz="1600"/>
            </a:pPr>
            <a:r>
              <a:rPr lang="en-US" sz="1600" b="0"/>
              <a:t>SALES OF PRODUCT</a:t>
            </a:r>
            <a:r>
              <a:rPr lang="en-US" sz="1600" b="0" baseline="0"/>
              <a:t> IN QNTY.</a:t>
            </a:r>
            <a:endParaRPr lang="en-US" sz="1600" b="0"/>
          </a:p>
        </c:rich>
      </c:tx>
      <c:layout/>
      <c:overlay val="0"/>
    </c:title>
    <c:autoTitleDeleted val="0"/>
    <c:pivotFmts>
      <c:pivotFmt>
        <c:idx val="0"/>
        <c:marker>
          <c:symbol val="none"/>
        </c:marker>
      </c:pivotFmt>
      <c:pivotFmt>
        <c:idx val="1"/>
        <c:marker>
          <c:symbol val="none"/>
        </c:marker>
      </c:pivotFmt>
      <c:pivotFmt>
        <c:idx val="2"/>
        <c:spPr>
          <a:solidFill>
            <a:srgbClr val="FF0066"/>
          </a:solidFill>
        </c:spPr>
        <c:marker>
          <c:symbol val="none"/>
        </c:marker>
        <c:dLbl>
          <c:idx val="0"/>
          <c:layout/>
          <c:spPr/>
          <c:txPr>
            <a:bodyPr/>
            <a:lstStyle/>
            <a:p>
              <a:pPr>
                <a:defRPr/>
              </a:pPr>
              <a:endParaRPr lang="en-US"/>
            </a:p>
          </c:txPr>
          <c:showLegendKey val="0"/>
          <c:showVal val="1"/>
          <c:showCatName val="0"/>
          <c:showSerName val="0"/>
          <c:showPercent val="0"/>
          <c:showBubbleSize val="0"/>
        </c:dLbl>
      </c:pivotFmt>
    </c:pivotFmts>
    <c:plotArea>
      <c:layout/>
      <c:barChart>
        <c:barDir val="col"/>
        <c:grouping val="clustered"/>
        <c:varyColors val="0"/>
        <c:ser>
          <c:idx val="0"/>
          <c:order val="0"/>
          <c:tx>
            <c:strRef>
              <c:f>'PVT. TABLE'!$B$12</c:f>
              <c:strCache>
                <c:ptCount val="1"/>
                <c:pt idx="0">
                  <c:v>Total</c:v>
                </c:pt>
              </c:strCache>
            </c:strRef>
          </c:tx>
          <c:spPr>
            <a:solidFill>
              <a:srgbClr val="FF0066"/>
            </a:solidFill>
          </c:spPr>
          <c:invertIfNegative val="0"/>
          <c:dLbls>
            <c:spPr/>
            <c:txPr>
              <a:bodyPr/>
              <a:lstStyle/>
              <a:p>
                <a:pPr>
                  <a:defRPr/>
                </a:pPr>
                <a:endParaRPr lang="en-US"/>
              </a:p>
            </c:txPr>
            <c:showLegendKey val="0"/>
            <c:showVal val="1"/>
            <c:showCatName val="0"/>
            <c:showSerName val="0"/>
            <c:showPercent val="0"/>
            <c:showBubbleSize val="0"/>
            <c:showLeaderLines val="0"/>
          </c:dLbls>
          <c:cat>
            <c:strRef>
              <c:f>'PVT. TABLE'!$A$13:$A$19</c:f>
              <c:strCache>
                <c:ptCount val="6"/>
                <c:pt idx="0">
                  <c:v>Keyboard</c:v>
                </c:pt>
                <c:pt idx="1">
                  <c:v>Monitor</c:v>
                </c:pt>
                <c:pt idx="2">
                  <c:v>Mouse</c:v>
                </c:pt>
                <c:pt idx="3">
                  <c:v>Printer</c:v>
                </c:pt>
                <c:pt idx="4">
                  <c:v>Scanner</c:v>
                </c:pt>
                <c:pt idx="5">
                  <c:v>Speaker</c:v>
                </c:pt>
              </c:strCache>
            </c:strRef>
          </c:cat>
          <c:val>
            <c:numRef>
              <c:f>'PVT. TABLE'!$B$13:$B$19</c:f>
              <c:numCache>
                <c:formatCode>General</c:formatCode>
                <c:ptCount val="6"/>
                <c:pt idx="0">
                  <c:v>287</c:v>
                </c:pt>
                <c:pt idx="1">
                  <c:v>186</c:v>
                </c:pt>
                <c:pt idx="2">
                  <c:v>452</c:v>
                </c:pt>
                <c:pt idx="3">
                  <c:v>159</c:v>
                </c:pt>
                <c:pt idx="4">
                  <c:v>274</c:v>
                </c:pt>
                <c:pt idx="5">
                  <c:v>276</c:v>
                </c:pt>
              </c:numCache>
            </c:numRef>
          </c:val>
        </c:ser>
        <c:dLbls>
          <c:showLegendKey val="0"/>
          <c:showVal val="0"/>
          <c:showCatName val="0"/>
          <c:showSerName val="0"/>
          <c:showPercent val="0"/>
          <c:showBubbleSize val="0"/>
        </c:dLbls>
        <c:gapWidth val="150"/>
        <c:axId val="208763520"/>
        <c:axId val="208765312"/>
      </c:barChart>
      <c:catAx>
        <c:axId val="208763520"/>
        <c:scaling>
          <c:orientation val="minMax"/>
        </c:scaling>
        <c:delete val="0"/>
        <c:axPos val="b"/>
        <c:majorTickMark val="out"/>
        <c:minorTickMark val="none"/>
        <c:tickLblPos val="nextTo"/>
        <c:crossAx val="208765312"/>
        <c:crosses val="autoZero"/>
        <c:auto val="1"/>
        <c:lblAlgn val="ctr"/>
        <c:lblOffset val="100"/>
        <c:noMultiLvlLbl val="0"/>
      </c:catAx>
      <c:valAx>
        <c:axId val="208765312"/>
        <c:scaling>
          <c:orientation val="minMax"/>
        </c:scaling>
        <c:delete val="0"/>
        <c:axPos val="l"/>
        <c:numFmt formatCode="General" sourceLinked="1"/>
        <c:majorTickMark val="out"/>
        <c:minorTickMark val="none"/>
        <c:tickLblPos val="nextTo"/>
        <c:crossAx val="208763520"/>
        <c:crosses val="autoZero"/>
        <c:crossBetween val="between"/>
      </c:valAx>
    </c:plotArea>
    <c:legend>
      <c:legendPos val="r"/>
      <c:layout/>
      <c:overlay val="0"/>
    </c:legend>
    <c:plotVisOnly val="1"/>
    <c:dispBlanksAs val="gap"/>
    <c:showDLblsOverMax val="0"/>
  </c:chart>
  <c:spPr>
    <a:ln>
      <a:noFill/>
    </a:ln>
  </c:spPr>
  <c:printSettings>
    <c:headerFooter/>
    <c:pageMargins b="0.75" l="0.7" r="0.7" t="0.75" header="0.3" footer="0.3"/>
    <c:pageSetup/>
  </c:printSettings>
  <c:extLst>
    <c:ext xmlns:c14="http://schemas.microsoft.com/office/drawing/2007/8/2/chart" uri="{781A3756-C4B2-4CAC-9D66-4F8BD8637D16}">
      <c14:pivotOptions>
        <c14:dropZoneFilter val="1"/>
        <c14:dropZoneSeries val="1"/>
        <c14:dropZonesVisible val="1"/>
      </c14:pivotOptions>
    </c:ext>
  </c:extLst>
</c:chartSpace>
</file>

<file path=xl/charts/chart5.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[Sales_Performance_Dashboard.xlsx]PVT. TABLE!PivotTable10</c:name>
    <c:fmtId val="30"/>
  </c:pivotSource>
  <c:chart>
    <c:title>
      <c:tx>
        <c:rich>
          <a:bodyPr/>
          <a:lstStyle/>
          <a:p>
            <a:pPr marL="0" marR="0" indent="0" algn="ctr" defTabSz="914400" rtl="0" eaLnBrk="1" fontAlgn="auto" latinLnBrk="0" hangingPunct="1">
              <a:lnSpc>
                <a:spcPct val="100000"/>
              </a:lnSpc>
              <a:spcBef>
                <a:spcPts val="0"/>
              </a:spcBef>
              <a:spcAft>
                <a:spcPts val="0"/>
              </a:spcAft>
              <a:buClrTx/>
              <a:buSzTx/>
              <a:buFontTx/>
              <a:buNone/>
              <a:tabLst/>
              <a:defRPr sz="1600" b="1" i="0" u="none" strike="noStrike" kern="1200" baseline="0">
                <a:solidFill>
                  <a:sysClr val="windowText" lastClr="000000"/>
                </a:solidFill>
                <a:latin typeface="+mn-lt"/>
                <a:ea typeface="+mn-ea"/>
                <a:cs typeface="+mn-cs"/>
              </a:defRPr>
            </a:pPr>
            <a:r>
              <a:rPr lang="en-US" sz="1600" b="0" i="0" baseline="0">
                <a:effectLst/>
              </a:rPr>
              <a:t>TOP 3 SELLING PRODUCT IN QNTY.</a:t>
            </a:r>
            <a:endParaRPr lang="en-US" sz="1600"/>
          </a:p>
        </c:rich>
      </c:tx>
      <c:layout/>
      <c:overlay val="0"/>
    </c:title>
    <c:autoTitleDeleted val="0"/>
    <c:pivotFmts>
      <c:pivotFmt>
        <c:idx val="0"/>
        <c:spPr>
          <a:solidFill>
            <a:srgbClr val="FF0066"/>
          </a:solidFill>
        </c:spPr>
        <c:marker>
          <c:symbol val="none"/>
        </c:marker>
      </c:pivotFmt>
      <c:pivotFmt>
        <c:idx val="1"/>
        <c:spPr>
          <a:solidFill>
            <a:srgbClr val="FF0066"/>
          </a:solidFill>
        </c:spPr>
        <c:marker>
          <c:symbol val="none"/>
        </c:marker>
      </c:pivotFmt>
      <c:pivotFmt>
        <c:idx val="2"/>
        <c:spPr>
          <a:solidFill>
            <a:srgbClr val="FF0066"/>
          </a:solidFill>
        </c:spPr>
        <c:marker>
          <c:symbol val="none"/>
        </c:marker>
        <c:dLbl>
          <c:idx val="0"/>
          <c:layout/>
          <c:spPr/>
          <c:txPr>
            <a:bodyPr/>
            <a:lstStyle/>
            <a:p>
              <a:pPr>
                <a:defRPr/>
              </a:pPr>
              <a:endParaRPr lang="en-US"/>
            </a:p>
          </c:txPr>
          <c:showLegendKey val="0"/>
          <c:showVal val="1"/>
          <c:showCatName val="0"/>
          <c:showSerName val="0"/>
          <c:showPercent val="0"/>
          <c:showBubbleSize val="0"/>
        </c:dLbl>
      </c:pivotFmt>
    </c:pivotFmts>
    <c:plotArea>
      <c:layout/>
      <c:barChart>
        <c:barDir val="col"/>
        <c:grouping val="clustered"/>
        <c:varyColors val="0"/>
        <c:ser>
          <c:idx val="0"/>
          <c:order val="0"/>
          <c:tx>
            <c:strRef>
              <c:f>'PVT. TABLE'!$I$12</c:f>
              <c:strCache>
                <c:ptCount val="1"/>
                <c:pt idx="0">
                  <c:v>Total</c:v>
                </c:pt>
              </c:strCache>
            </c:strRef>
          </c:tx>
          <c:spPr>
            <a:solidFill>
              <a:srgbClr val="FF0066"/>
            </a:solidFill>
          </c:spPr>
          <c:invertIfNegative val="0"/>
          <c:dLbls>
            <c:spPr/>
            <c:txPr>
              <a:bodyPr/>
              <a:lstStyle/>
              <a:p>
                <a:pPr>
                  <a:defRPr/>
                </a:pPr>
                <a:endParaRPr lang="en-US"/>
              </a:p>
            </c:txPr>
            <c:showLegendKey val="0"/>
            <c:showVal val="1"/>
            <c:showCatName val="0"/>
            <c:showSerName val="0"/>
            <c:showPercent val="0"/>
            <c:showBubbleSize val="0"/>
            <c:showLeaderLines val="0"/>
          </c:dLbls>
          <c:cat>
            <c:strRef>
              <c:f>'PVT. TABLE'!$H$13:$H$16</c:f>
              <c:strCache>
                <c:ptCount val="3"/>
                <c:pt idx="0">
                  <c:v>Keyboard</c:v>
                </c:pt>
                <c:pt idx="1">
                  <c:v>Mouse</c:v>
                </c:pt>
                <c:pt idx="2">
                  <c:v>Speaker</c:v>
                </c:pt>
              </c:strCache>
            </c:strRef>
          </c:cat>
          <c:val>
            <c:numRef>
              <c:f>'PVT. TABLE'!$I$13:$I$16</c:f>
              <c:numCache>
                <c:formatCode>General</c:formatCode>
                <c:ptCount val="3"/>
                <c:pt idx="0">
                  <c:v>287</c:v>
                </c:pt>
                <c:pt idx="1">
                  <c:v>452</c:v>
                </c:pt>
                <c:pt idx="2">
                  <c:v>276</c:v>
                </c:pt>
              </c:numCache>
            </c:numRef>
          </c:val>
        </c:ser>
        <c:dLbls>
          <c:showLegendKey val="0"/>
          <c:showVal val="0"/>
          <c:showCatName val="0"/>
          <c:showSerName val="0"/>
          <c:showPercent val="0"/>
          <c:showBubbleSize val="0"/>
        </c:dLbls>
        <c:gapWidth val="150"/>
        <c:axId val="202783360"/>
        <c:axId val="202793344"/>
      </c:barChart>
      <c:catAx>
        <c:axId val="202783360"/>
        <c:scaling>
          <c:orientation val="minMax"/>
        </c:scaling>
        <c:delete val="0"/>
        <c:axPos val="b"/>
        <c:majorTickMark val="out"/>
        <c:minorTickMark val="none"/>
        <c:tickLblPos val="nextTo"/>
        <c:crossAx val="202793344"/>
        <c:crosses val="autoZero"/>
        <c:auto val="1"/>
        <c:lblAlgn val="ctr"/>
        <c:lblOffset val="100"/>
        <c:noMultiLvlLbl val="0"/>
      </c:catAx>
      <c:valAx>
        <c:axId val="202793344"/>
        <c:scaling>
          <c:orientation val="minMax"/>
        </c:scaling>
        <c:delete val="0"/>
        <c:axPos val="l"/>
        <c:numFmt formatCode="General" sourceLinked="1"/>
        <c:majorTickMark val="out"/>
        <c:minorTickMark val="none"/>
        <c:tickLblPos val="nextTo"/>
        <c:crossAx val="202783360"/>
        <c:crosses val="autoZero"/>
        <c:crossBetween val="between"/>
      </c:valAx>
    </c:plotArea>
    <c:plotVisOnly val="1"/>
    <c:dispBlanksAs val="gap"/>
    <c:showDLblsOverMax val="0"/>
  </c:chart>
  <c:spPr>
    <a:ln>
      <a:noFill/>
    </a:ln>
  </c:sp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Lst>
</c:chartSpace>
</file>

<file path=xl/charts/chart6.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[Sales_Performance_Dashboard.xlsx]PVT. TABLE!PivotTable9</c:name>
    <c:fmtId val="31"/>
  </c:pivotSource>
  <c:chart>
    <c:title>
      <c:tx>
        <c:rich>
          <a:bodyPr/>
          <a:lstStyle/>
          <a:p>
            <a:pPr>
              <a:defRPr sz="1600"/>
            </a:pPr>
            <a:r>
              <a:rPr lang="en-US" sz="1600" b="0" i="0" baseline="0">
                <a:effectLst/>
              </a:rPr>
              <a:t>BOTTOM 3 SELLING PRODUCT IN QNTY.</a:t>
            </a:r>
            <a:endParaRPr lang="en-US" sz="1600">
              <a:effectLst/>
            </a:endParaRPr>
          </a:p>
        </c:rich>
      </c:tx>
      <c:layout/>
      <c:overlay val="0"/>
    </c:title>
    <c:autoTitleDeleted val="0"/>
    <c:pivotFmts>
      <c:pivotFmt>
        <c:idx val="0"/>
        <c:spPr>
          <a:solidFill>
            <a:srgbClr val="FF0066"/>
          </a:solidFill>
        </c:spPr>
        <c:marker>
          <c:symbol val="none"/>
        </c:marker>
        <c:dLbl>
          <c:idx val="0"/>
          <c:spPr/>
          <c:txPr>
            <a:bodyPr/>
            <a:lstStyle/>
            <a:p>
              <a:pPr>
                <a:defRPr/>
              </a:pPr>
              <a:endParaRPr lang="en-US"/>
            </a:p>
          </c:txPr>
          <c:showLegendKey val="0"/>
          <c:showVal val="1"/>
          <c:showCatName val="0"/>
          <c:showSerName val="0"/>
          <c:showPercent val="0"/>
          <c:showBubbleSize val="0"/>
        </c:dLbl>
      </c:pivotFmt>
      <c:pivotFmt>
        <c:idx val="1"/>
        <c:spPr>
          <a:solidFill>
            <a:srgbClr val="FF0066"/>
          </a:solidFill>
        </c:spPr>
        <c:marker>
          <c:symbol val="none"/>
        </c:marker>
        <c:dLbl>
          <c:idx val="0"/>
          <c:spPr/>
          <c:txPr>
            <a:bodyPr/>
            <a:lstStyle/>
            <a:p>
              <a:pPr>
                <a:defRPr/>
              </a:pPr>
              <a:endParaRPr lang="en-US"/>
            </a:p>
          </c:txPr>
          <c:showLegendKey val="0"/>
          <c:showVal val="1"/>
          <c:showCatName val="0"/>
          <c:showSerName val="0"/>
          <c:showPercent val="0"/>
          <c:showBubbleSize val="0"/>
        </c:dLbl>
      </c:pivotFmt>
      <c:pivotFmt>
        <c:idx val="2"/>
        <c:spPr>
          <a:solidFill>
            <a:srgbClr val="FF0066"/>
          </a:solidFill>
        </c:spPr>
        <c:marker>
          <c:symbol val="none"/>
        </c:marker>
        <c:dLbl>
          <c:idx val="0"/>
          <c:layout/>
          <c:spPr/>
          <c:txPr>
            <a:bodyPr/>
            <a:lstStyle/>
            <a:p>
              <a:pPr>
                <a:defRPr/>
              </a:pPr>
              <a:endParaRPr lang="en-US"/>
            </a:p>
          </c:txPr>
          <c:showLegendKey val="0"/>
          <c:showVal val="1"/>
          <c:showCatName val="0"/>
          <c:showSerName val="0"/>
          <c:showPercent val="0"/>
          <c:showBubbleSize val="0"/>
        </c:dLbl>
      </c:pivotFmt>
    </c:pivotFmts>
    <c:plotArea>
      <c:layout/>
      <c:barChart>
        <c:barDir val="col"/>
        <c:grouping val="clustered"/>
        <c:varyColors val="0"/>
        <c:ser>
          <c:idx val="0"/>
          <c:order val="0"/>
          <c:tx>
            <c:strRef>
              <c:f>'PVT. TABLE'!$P$12</c:f>
              <c:strCache>
                <c:ptCount val="1"/>
                <c:pt idx="0">
                  <c:v>Total</c:v>
                </c:pt>
              </c:strCache>
            </c:strRef>
          </c:tx>
          <c:spPr>
            <a:solidFill>
              <a:srgbClr val="FF0066"/>
            </a:solidFill>
          </c:spPr>
          <c:invertIfNegative val="0"/>
          <c:dLbls>
            <c:spPr/>
            <c:txPr>
              <a:bodyPr/>
              <a:lstStyle/>
              <a:p>
                <a:pPr>
                  <a:defRPr/>
                </a:pPr>
                <a:endParaRPr lang="en-US"/>
              </a:p>
            </c:txPr>
            <c:showLegendKey val="0"/>
            <c:showVal val="1"/>
            <c:showCatName val="0"/>
            <c:showSerName val="0"/>
            <c:showPercent val="0"/>
            <c:showBubbleSize val="0"/>
            <c:showLeaderLines val="0"/>
          </c:dLbls>
          <c:cat>
            <c:strRef>
              <c:f>'PVT. TABLE'!$O$13:$O$16</c:f>
              <c:strCache>
                <c:ptCount val="3"/>
                <c:pt idx="0">
                  <c:v>Monitor</c:v>
                </c:pt>
                <c:pt idx="1">
                  <c:v>Printer</c:v>
                </c:pt>
                <c:pt idx="2">
                  <c:v>Scanner</c:v>
                </c:pt>
              </c:strCache>
            </c:strRef>
          </c:cat>
          <c:val>
            <c:numRef>
              <c:f>'PVT. TABLE'!$P$13:$P$16</c:f>
              <c:numCache>
                <c:formatCode>General</c:formatCode>
                <c:ptCount val="3"/>
                <c:pt idx="0">
                  <c:v>186</c:v>
                </c:pt>
                <c:pt idx="1">
                  <c:v>159</c:v>
                </c:pt>
                <c:pt idx="2">
                  <c:v>274</c:v>
                </c:pt>
              </c:numCache>
            </c:numRef>
          </c:val>
        </c:ser>
        <c:dLbls>
          <c:showLegendKey val="0"/>
          <c:showVal val="0"/>
          <c:showCatName val="0"/>
          <c:showSerName val="0"/>
          <c:showPercent val="0"/>
          <c:showBubbleSize val="0"/>
        </c:dLbls>
        <c:gapWidth val="150"/>
        <c:axId val="202828416"/>
        <c:axId val="202834304"/>
      </c:barChart>
      <c:catAx>
        <c:axId val="202828416"/>
        <c:scaling>
          <c:orientation val="minMax"/>
        </c:scaling>
        <c:delete val="0"/>
        <c:axPos val="b"/>
        <c:majorTickMark val="out"/>
        <c:minorTickMark val="none"/>
        <c:tickLblPos val="nextTo"/>
        <c:crossAx val="202834304"/>
        <c:crosses val="autoZero"/>
        <c:auto val="1"/>
        <c:lblAlgn val="ctr"/>
        <c:lblOffset val="100"/>
        <c:noMultiLvlLbl val="0"/>
      </c:catAx>
      <c:valAx>
        <c:axId val="202834304"/>
        <c:scaling>
          <c:orientation val="minMax"/>
        </c:scaling>
        <c:delete val="0"/>
        <c:axPos val="l"/>
        <c:numFmt formatCode="General" sourceLinked="1"/>
        <c:majorTickMark val="out"/>
        <c:minorTickMark val="none"/>
        <c:tickLblPos val="nextTo"/>
        <c:crossAx val="202828416"/>
        <c:crosses val="autoZero"/>
        <c:crossBetween val="between"/>
      </c:valAx>
    </c:plotArea>
    <c:plotVisOnly val="1"/>
    <c:dispBlanksAs val="gap"/>
    <c:showDLblsOverMax val="0"/>
  </c:chart>
  <c:spPr>
    <a:ln>
      <a:noFill/>
    </a:ln>
  </c:sp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Lst>
</c:chartSpace>
</file>

<file path=xl/charts/chart7.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[Sales_Performance_Dashboard.xlsx]PVT. TABLE!PivotTable1</c:name>
    <c:fmtId val="18"/>
  </c:pivotSource>
  <c:chart>
    <c:title>
      <c:tx>
        <c:rich>
          <a:bodyPr/>
          <a:lstStyle/>
          <a:p>
            <a:pPr>
              <a:defRPr/>
            </a:pPr>
            <a:r>
              <a:rPr lang="en-US" sz="1200" b="0">
                <a:latin typeface="Arial" pitchFamily="34" charset="0"/>
                <a:cs typeface="Arial" pitchFamily="34" charset="0"/>
              </a:rPr>
              <a:t>Salesperson</a:t>
            </a:r>
            <a:r>
              <a:rPr lang="en-US" sz="1200" b="0" baseline="0">
                <a:latin typeface="Arial" pitchFamily="34" charset="0"/>
                <a:cs typeface="Arial" pitchFamily="34" charset="0"/>
              </a:rPr>
              <a:t> </a:t>
            </a:r>
            <a:r>
              <a:rPr lang="en-US" sz="1200" b="0" i="0" u="none" strike="noStrike" kern="1200" baseline="0">
                <a:solidFill>
                  <a:sysClr val="windowText" lastClr="000000"/>
                </a:solidFill>
                <a:latin typeface="Arial" pitchFamily="34" charset="0"/>
                <a:ea typeface="+mn-ea"/>
                <a:cs typeface="Arial" pitchFamily="34" charset="0"/>
              </a:rPr>
              <a:t>Performance</a:t>
            </a:r>
          </a:p>
        </c:rich>
      </c:tx>
      <c:layout/>
      <c:overlay val="0"/>
    </c:title>
    <c:autoTitleDeleted val="0"/>
    <c:pivotFmts>
      <c:pivotFmt>
        <c:idx val="0"/>
        <c:spPr>
          <a:solidFill>
            <a:srgbClr val="FF3399"/>
          </a:solidFill>
        </c:spPr>
        <c:dLbl>
          <c:idx val="0"/>
          <c:spPr/>
          <c:txPr>
            <a:bodyPr/>
            <a:lstStyle/>
            <a:p>
              <a:pPr>
                <a:defRPr/>
              </a:pPr>
              <a:endParaRPr lang="en-US"/>
            </a:p>
          </c:txPr>
          <c:showLegendKey val="1"/>
          <c:showVal val="1"/>
          <c:showCatName val="1"/>
          <c:showSerName val="1"/>
          <c:showPercent val="1"/>
          <c:showBubbleSize val="1"/>
        </c:dLbl>
      </c:pivotFmt>
      <c:pivotFmt>
        <c:idx val="1"/>
        <c:spPr>
          <a:solidFill>
            <a:srgbClr val="FF3399"/>
          </a:solidFill>
        </c:spPr>
        <c:dLbl>
          <c:idx val="0"/>
          <c:spPr/>
          <c:txPr>
            <a:bodyPr/>
            <a:lstStyle/>
            <a:p>
              <a:pPr>
                <a:defRPr/>
              </a:pPr>
              <a:endParaRPr lang="en-US"/>
            </a:p>
          </c:txPr>
          <c:showLegendKey val="1"/>
          <c:showVal val="1"/>
          <c:showCatName val="1"/>
          <c:showSerName val="1"/>
          <c:showPercent val="1"/>
          <c:showBubbleSize val="1"/>
        </c:dLbl>
      </c:pivotFmt>
      <c:pivotFmt>
        <c:idx val="2"/>
        <c:spPr>
          <a:solidFill>
            <a:srgbClr val="FF3399"/>
          </a:solidFill>
        </c:spPr>
        <c:marker>
          <c:symbol val="none"/>
        </c:marker>
      </c:pivotFmt>
      <c:pivotFmt>
        <c:idx val="3"/>
        <c:spPr>
          <a:solidFill>
            <a:srgbClr val="FF3399"/>
          </a:solidFill>
        </c:spPr>
        <c:marker>
          <c:symbol val="none"/>
        </c:marker>
      </c:pivotFmt>
      <c:pivotFmt>
        <c:idx val="4"/>
        <c:spPr>
          <a:solidFill>
            <a:srgbClr val="FF0066"/>
          </a:solidFill>
        </c:spPr>
        <c:marker>
          <c:symbol val="none"/>
        </c:marker>
        <c:dLbl>
          <c:idx val="0"/>
          <c:spPr/>
          <c:txPr>
            <a:bodyPr/>
            <a:lstStyle/>
            <a:p>
              <a:pPr>
                <a:defRPr/>
              </a:pPr>
              <a:endParaRPr lang="en-US"/>
            </a:p>
          </c:txPr>
          <c:showLegendKey val="0"/>
          <c:showVal val="1"/>
          <c:showCatName val="0"/>
          <c:showSerName val="0"/>
          <c:showPercent val="0"/>
          <c:showBubbleSize val="0"/>
        </c:dLbl>
      </c:pivotFmt>
      <c:pivotFmt>
        <c:idx val="5"/>
        <c:spPr>
          <a:solidFill>
            <a:srgbClr val="FF0066"/>
          </a:solidFill>
        </c:spPr>
        <c:marker>
          <c:symbol val="none"/>
        </c:marker>
        <c:dLbl>
          <c:idx val="0"/>
          <c:layout/>
          <c:spPr/>
          <c:txPr>
            <a:bodyPr/>
            <a:lstStyle/>
            <a:p>
              <a:pPr>
                <a:defRPr sz="1000"/>
              </a:pPr>
              <a:endParaRPr lang="en-US"/>
            </a:p>
          </c:txPr>
          <c:showLegendKey val="0"/>
          <c:showVal val="1"/>
          <c:showCatName val="0"/>
          <c:showSerName val="0"/>
          <c:showPercent val="0"/>
          <c:showBubbleSize val="0"/>
        </c:dLbl>
      </c:pivotFmt>
    </c:pivotFmts>
    <c:plotArea>
      <c:layout/>
      <c:barChart>
        <c:barDir val="col"/>
        <c:grouping val="clustered"/>
        <c:varyColors val="0"/>
        <c:ser>
          <c:idx val="0"/>
          <c:order val="0"/>
          <c:tx>
            <c:strRef>
              <c:f>'PVT. TABLE'!$B$26</c:f>
              <c:strCache>
                <c:ptCount val="1"/>
                <c:pt idx="0">
                  <c:v>Total</c:v>
                </c:pt>
              </c:strCache>
            </c:strRef>
          </c:tx>
          <c:spPr>
            <a:solidFill>
              <a:srgbClr val="FF0066"/>
            </a:solidFill>
          </c:spPr>
          <c:invertIfNegative val="0"/>
          <c:dLbls>
            <c:spPr/>
            <c:txPr>
              <a:bodyPr/>
              <a:lstStyle/>
              <a:p>
                <a:pPr>
                  <a:defRPr sz="1000"/>
                </a:pPr>
                <a:endParaRPr lang="en-US"/>
              </a:p>
            </c:txPr>
            <c:showLegendKey val="0"/>
            <c:showVal val="1"/>
            <c:showCatName val="0"/>
            <c:showSerName val="0"/>
            <c:showPercent val="0"/>
            <c:showBubbleSize val="0"/>
            <c:showLeaderLines val="0"/>
          </c:dLbls>
          <c:cat>
            <c:strRef>
              <c:f>'PVT. TABLE'!$A$27:$A$35</c:f>
              <c:strCache>
                <c:ptCount val="8"/>
                <c:pt idx="0">
                  <c:v>Ajay</c:v>
                </c:pt>
                <c:pt idx="1">
                  <c:v>Amit</c:v>
                </c:pt>
                <c:pt idx="2">
                  <c:v>Karan</c:v>
                </c:pt>
                <c:pt idx="3">
                  <c:v>Neha</c:v>
                </c:pt>
                <c:pt idx="4">
                  <c:v>Pooja</c:v>
                </c:pt>
                <c:pt idx="5">
                  <c:v>Ravi</c:v>
                </c:pt>
                <c:pt idx="6">
                  <c:v>Simran</c:v>
                </c:pt>
                <c:pt idx="7">
                  <c:v>Vikas</c:v>
                </c:pt>
              </c:strCache>
            </c:strRef>
          </c:cat>
          <c:val>
            <c:numRef>
              <c:f>'PVT. TABLE'!$B$27:$B$35</c:f>
              <c:numCache>
                <c:formatCode>General</c:formatCode>
                <c:ptCount val="8"/>
                <c:pt idx="0">
                  <c:v>368009</c:v>
                </c:pt>
                <c:pt idx="1">
                  <c:v>215668</c:v>
                </c:pt>
                <c:pt idx="2">
                  <c:v>478861</c:v>
                </c:pt>
                <c:pt idx="3">
                  <c:v>362168</c:v>
                </c:pt>
                <c:pt idx="4">
                  <c:v>232116</c:v>
                </c:pt>
                <c:pt idx="5">
                  <c:v>567629</c:v>
                </c:pt>
                <c:pt idx="6">
                  <c:v>704900</c:v>
                </c:pt>
                <c:pt idx="7">
                  <c:v>520099</c:v>
                </c:pt>
              </c:numCache>
            </c:numRef>
          </c:val>
        </c:ser>
        <c:dLbls>
          <c:showLegendKey val="0"/>
          <c:showVal val="0"/>
          <c:showCatName val="0"/>
          <c:showSerName val="0"/>
          <c:showPercent val="0"/>
          <c:showBubbleSize val="0"/>
        </c:dLbls>
        <c:gapWidth val="150"/>
        <c:axId val="212936576"/>
        <c:axId val="212938112"/>
      </c:barChart>
      <c:catAx>
        <c:axId val="212936576"/>
        <c:scaling>
          <c:orientation val="minMax"/>
        </c:scaling>
        <c:delete val="0"/>
        <c:axPos val="b"/>
        <c:majorTickMark val="out"/>
        <c:minorTickMark val="none"/>
        <c:tickLblPos val="nextTo"/>
        <c:crossAx val="212938112"/>
        <c:crosses val="autoZero"/>
        <c:auto val="1"/>
        <c:lblAlgn val="ctr"/>
        <c:lblOffset val="100"/>
        <c:noMultiLvlLbl val="0"/>
      </c:catAx>
      <c:valAx>
        <c:axId val="212938112"/>
        <c:scaling>
          <c:orientation val="minMax"/>
        </c:scaling>
        <c:delete val="0"/>
        <c:axPos val="l"/>
        <c:numFmt formatCode="General" sourceLinked="1"/>
        <c:majorTickMark val="out"/>
        <c:minorTickMark val="none"/>
        <c:tickLblPos val="nextTo"/>
        <c:txPr>
          <a:bodyPr/>
          <a:lstStyle/>
          <a:p>
            <a:pPr>
              <a:defRPr sz="1000"/>
            </a:pPr>
            <a:endParaRPr lang="en-US"/>
          </a:p>
        </c:txPr>
        <c:crossAx val="212936576"/>
        <c:crosses val="autoZero"/>
        <c:crossBetween val="between"/>
      </c:valAx>
    </c:plotArea>
    <c:plotVisOnly val="1"/>
    <c:dispBlanksAs val="gap"/>
    <c:showDLblsOverMax val="0"/>
  </c:chart>
  <c:spPr>
    <a:solidFill>
      <a:schemeClr val="bg1"/>
    </a:solidFill>
    <a:ln>
      <a:solidFill>
        <a:schemeClr val="bg1"/>
      </a:solidFill>
    </a:ln>
  </c:sp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Lst>
</c:chartSpace>
</file>

<file path=xl/charts/chart8.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[Sales_Performance_Dashboard.xlsx]PVT. TABLE!PivotTable2</c:name>
    <c:fmtId val="24"/>
  </c:pivotSource>
  <c:chart>
    <c:title>
      <c:tx>
        <c:rich>
          <a:bodyPr/>
          <a:lstStyle/>
          <a:p>
            <a:pPr marL="0" marR="0" indent="0" algn="ctr" defTabSz="914400" rtl="0" eaLnBrk="1" fontAlgn="auto" latinLnBrk="0" hangingPunct="1">
              <a:lnSpc>
                <a:spcPct val="100000"/>
              </a:lnSpc>
              <a:spcBef>
                <a:spcPts val="0"/>
              </a:spcBef>
              <a:spcAft>
                <a:spcPts val="0"/>
              </a:spcAft>
              <a:buClrTx/>
              <a:buSzTx/>
              <a:buFontTx/>
              <a:buNone/>
              <a:tabLst/>
              <a:defRPr sz="1200" b="0" i="0" u="none" strike="noStrike" kern="1200" baseline="0">
                <a:solidFill>
                  <a:sysClr val="windowText" lastClr="000000"/>
                </a:solidFill>
                <a:latin typeface="Arial" pitchFamily="34" charset="0"/>
                <a:ea typeface="+mn-ea"/>
                <a:cs typeface="Arial" pitchFamily="34" charset="0"/>
              </a:defRPr>
            </a:pPr>
            <a:r>
              <a:rPr lang="en-US" sz="1200" b="0" i="0" baseline="0">
                <a:effectLst/>
              </a:rPr>
              <a:t>TOP 3 Salesperson</a:t>
            </a:r>
            <a:endParaRPr lang="en-US" sz="1200" b="0">
              <a:latin typeface="Arial" pitchFamily="34" charset="0"/>
              <a:cs typeface="Arial" pitchFamily="34" charset="0"/>
            </a:endParaRPr>
          </a:p>
        </c:rich>
      </c:tx>
      <c:layout/>
      <c:overlay val="0"/>
    </c:title>
    <c:autoTitleDeleted val="0"/>
    <c:pivotFmts>
      <c:pivotFmt>
        <c:idx val="0"/>
        <c:spPr>
          <a:solidFill>
            <a:srgbClr val="FF3399"/>
          </a:solidFill>
        </c:spPr>
        <c:marker>
          <c:symbol val="none"/>
        </c:marker>
        <c:dLbl>
          <c:idx val="0"/>
          <c:spPr/>
          <c:txPr>
            <a:bodyPr/>
            <a:lstStyle/>
            <a:p>
              <a:pPr>
                <a:defRPr/>
              </a:pPr>
              <a:endParaRPr lang="en-US"/>
            </a:p>
          </c:txPr>
          <c:showLegendKey val="0"/>
          <c:showVal val="1"/>
          <c:showCatName val="0"/>
          <c:showSerName val="0"/>
          <c:showPercent val="0"/>
          <c:showBubbleSize val="0"/>
        </c:dLbl>
      </c:pivotFmt>
      <c:pivotFmt>
        <c:idx val="1"/>
        <c:spPr>
          <a:solidFill>
            <a:srgbClr val="FF3399"/>
          </a:solidFill>
        </c:spPr>
        <c:marker>
          <c:symbol val="none"/>
        </c:marker>
        <c:dLbl>
          <c:idx val="0"/>
          <c:spPr/>
          <c:txPr>
            <a:bodyPr/>
            <a:lstStyle/>
            <a:p>
              <a:pPr>
                <a:defRPr/>
              </a:pPr>
              <a:endParaRPr lang="en-US"/>
            </a:p>
          </c:txPr>
          <c:showLegendKey val="0"/>
          <c:showVal val="1"/>
          <c:showCatName val="0"/>
          <c:showSerName val="0"/>
          <c:showPercent val="0"/>
          <c:showBubbleSize val="0"/>
        </c:dLbl>
      </c:pivotFmt>
      <c:pivotFmt>
        <c:idx val="2"/>
        <c:spPr>
          <a:solidFill>
            <a:srgbClr val="FF3399"/>
          </a:solidFill>
        </c:spPr>
        <c:marker>
          <c:symbol val="none"/>
        </c:marker>
        <c:dLbl>
          <c:idx val="0"/>
          <c:spPr/>
          <c:txPr>
            <a:bodyPr/>
            <a:lstStyle/>
            <a:p>
              <a:pPr>
                <a:defRPr/>
              </a:pPr>
              <a:endParaRPr lang="en-US"/>
            </a:p>
          </c:txPr>
          <c:showLegendKey val="0"/>
          <c:showVal val="1"/>
          <c:showCatName val="0"/>
          <c:showSerName val="0"/>
          <c:showPercent val="0"/>
          <c:showBubbleSize val="0"/>
        </c:dLbl>
      </c:pivotFmt>
      <c:pivotFmt>
        <c:idx val="3"/>
        <c:spPr>
          <a:solidFill>
            <a:srgbClr val="FF3399"/>
          </a:solidFill>
        </c:spPr>
        <c:marker>
          <c:symbol val="none"/>
        </c:marker>
        <c:dLbl>
          <c:idx val="0"/>
          <c:spPr/>
          <c:txPr>
            <a:bodyPr/>
            <a:lstStyle/>
            <a:p>
              <a:pPr>
                <a:defRPr/>
              </a:pPr>
              <a:endParaRPr lang="en-US"/>
            </a:p>
          </c:txPr>
          <c:showLegendKey val="0"/>
          <c:showVal val="1"/>
          <c:showCatName val="0"/>
          <c:showSerName val="0"/>
          <c:showPercent val="0"/>
          <c:showBubbleSize val="0"/>
        </c:dLbl>
      </c:pivotFmt>
      <c:pivotFmt>
        <c:idx val="4"/>
        <c:spPr>
          <a:solidFill>
            <a:srgbClr val="FF3399"/>
          </a:solidFill>
        </c:spPr>
        <c:marker>
          <c:symbol val="none"/>
        </c:marker>
        <c:dLbl>
          <c:idx val="0"/>
          <c:spPr/>
          <c:txPr>
            <a:bodyPr/>
            <a:lstStyle/>
            <a:p>
              <a:pPr>
                <a:defRPr/>
              </a:pPr>
              <a:endParaRPr lang="en-US"/>
            </a:p>
          </c:txPr>
          <c:showLegendKey val="0"/>
          <c:showVal val="1"/>
          <c:showCatName val="0"/>
          <c:showSerName val="0"/>
          <c:showPercent val="0"/>
          <c:showBubbleSize val="0"/>
        </c:dLbl>
      </c:pivotFmt>
      <c:pivotFmt>
        <c:idx val="5"/>
        <c:spPr>
          <a:solidFill>
            <a:srgbClr val="FF3399"/>
          </a:solidFill>
        </c:spPr>
        <c:marker>
          <c:symbol val="none"/>
        </c:marker>
        <c:dLbl>
          <c:idx val="0"/>
          <c:spPr/>
          <c:txPr>
            <a:bodyPr/>
            <a:lstStyle/>
            <a:p>
              <a:pPr>
                <a:defRPr/>
              </a:pPr>
              <a:endParaRPr lang="en-US"/>
            </a:p>
          </c:txPr>
          <c:showLegendKey val="0"/>
          <c:showVal val="1"/>
          <c:showCatName val="0"/>
          <c:showSerName val="0"/>
          <c:showPercent val="0"/>
          <c:showBubbleSize val="0"/>
        </c:dLbl>
      </c:pivotFmt>
      <c:pivotFmt>
        <c:idx val="6"/>
        <c:spPr>
          <a:solidFill>
            <a:srgbClr val="FF3399"/>
          </a:solidFill>
        </c:spPr>
        <c:marker>
          <c:symbol val="none"/>
        </c:marker>
        <c:dLbl>
          <c:idx val="0"/>
          <c:spPr/>
          <c:txPr>
            <a:bodyPr/>
            <a:lstStyle/>
            <a:p>
              <a:pPr>
                <a:defRPr/>
              </a:pPr>
              <a:endParaRPr lang="en-US"/>
            </a:p>
          </c:txPr>
          <c:showLegendKey val="0"/>
          <c:showVal val="1"/>
          <c:showCatName val="0"/>
          <c:showSerName val="0"/>
          <c:showPercent val="0"/>
          <c:showBubbleSize val="0"/>
        </c:dLbl>
      </c:pivotFmt>
      <c:pivotFmt>
        <c:idx val="7"/>
        <c:spPr>
          <a:solidFill>
            <a:srgbClr val="FF3399"/>
          </a:solidFill>
        </c:spPr>
        <c:marker>
          <c:symbol val="none"/>
        </c:marker>
        <c:dLbl>
          <c:idx val="0"/>
          <c:spPr/>
          <c:txPr>
            <a:bodyPr/>
            <a:lstStyle/>
            <a:p>
              <a:pPr>
                <a:defRPr/>
              </a:pPr>
              <a:endParaRPr lang="en-US"/>
            </a:p>
          </c:txPr>
          <c:showLegendKey val="0"/>
          <c:showVal val="1"/>
          <c:showCatName val="0"/>
          <c:showSerName val="0"/>
          <c:showPercent val="0"/>
          <c:showBubbleSize val="0"/>
        </c:dLbl>
      </c:pivotFmt>
      <c:pivotFmt>
        <c:idx val="8"/>
        <c:spPr>
          <a:solidFill>
            <a:srgbClr val="FF0066"/>
          </a:solidFill>
        </c:spPr>
        <c:marker>
          <c:symbol val="none"/>
        </c:marker>
        <c:dLbl>
          <c:idx val="0"/>
          <c:spPr/>
          <c:txPr>
            <a:bodyPr/>
            <a:lstStyle/>
            <a:p>
              <a:pPr>
                <a:defRPr/>
              </a:pPr>
              <a:endParaRPr lang="en-US"/>
            </a:p>
          </c:txPr>
          <c:showLegendKey val="0"/>
          <c:showVal val="1"/>
          <c:showCatName val="0"/>
          <c:showSerName val="0"/>
          <c:showPercent val="0"/>
          <c:showBubbleSize val="0"/>
        </c:dLbl>
      </c:pivotFmt>
      <c:pivotFmt>
        <c:idx val="9"/>
        <c:spPr>
          <a:solidFill>
            <a:srgbClr val="FF0066"/>
          </a:solidFill>
        </c:spPr>
        <c:marker>
          <c:symbol val="none"/>
        </c:marker>
        <c:dLbl>
          <c:idx val="0"/>
          <c:layout/>
          <c:spPr/>
          <c:txPr>
            <a:bodyPr/>
            <a:lstStyle/>
            <a:p>
              <a:pPr>
                <a:defRPr/>
              </a:pPr>
              <a:endParaRPr lang="en-US"/>
            </a:p>
          </c:txPr>
          <c:showLegendKey val="0"/>
          <c:showVal val="1"/>
          <c:showCatName val="0"/>
          <c:showSerName val="0"/>
          <c:showPercent val="0"/>
          <c:showBubbleSize val="0"/>
        </c:dLbl>
      </c:pivotFmt>
    </c:pivotFmts>
    <c:plotArea>
      <c:layout/>
      <c:barChart>
        <c:barDir val="col"/>
        <c:grouping val="clustered"/>
        <c:varyColors val="0"/>
        <c:ser>
          <c:idx val="0"/>
          <c:order val="0"/>
          <c:tx>
            <c:strRef>
              <c:f>'PVT. TABLE'!$I$29</c:f>
              <c:strCache>
                <c:ptCount val="1"/>
                <c:pt idx="0">
                  <c:v>Total</c:v>
                </c:pt>
              </c:strCache>
            </c:strRef>
          </c:tx>
          <c:spPr>
            <a:solidFill>
              <a:srgbClr val="FF0066"/>
            </a:solidFill>
          </c:spPr>
          <c:invertIfNegative val="0"/>
          <c:dLbls>
            <c:spPr/>
            <c:txPr>
              <a:bodyPr/>
              <a:lstStyle/>
              <a:p>
                <a:pPr>
                  <a:defRPr/>
                </a:pPr>
                <a:endParaRPr lang="en-US"/>
              </a:p>
            </c:txPr>
            <c:showLegendKey val="0"/>
            <c:showVal val="1"/>
            <c:showCatName val="0"/>
            <c:showSerName val="0"/>
            <c:showPercent val="0"/>
            <c:showBubbleSize val="0"/>
            <c:showLeaderLines val="0"/>
          </c:dLbls>
          <c:cat>
            <c:strRef>
              <c:f>'PVT. TABLE'!$H$30:$H$33</c:f>
              <c:strCache>
                <c:ptCount val="3"/>
                <c:pt idx="0">
                  <c:v>Ravi</c:v>
                </c:pt>
                <c:pt idx="1">
                  <c:v>Simran</c:v>
                </c:pt>
                <c:pt idx="2">
                  <c:v>Vikas</c:v>
                </c:pt>
              </c:strCache>
            </c:strRef>
          </c:cat>
          <c:val>
            <c:numRef>
              <c:f>'PVT. TABLE'!$I$30:$I$33</c:f>
              <c:numCache>
                <c:formatCode>General</c:formatCode>
                <c:ptCount val="3"/>
                <c:pt idx="0">
                  <c:v>567629</c:v>
                </c:pt>
                <c:pt idx="1">
                  <c:v>704900</c:v>
                </c:pt>
                <c:pt idx="2">
                  <c:v>520099</c:v>
                </c:pt>
              </c:numCache>
            </c:numRef>
          </c:val>
        </c:ser>
        <c:dLbls>
          <c:showLegendKey val="0"/>
          <c:showVal val="0"/>
          <c:showCatName val="0"/>
          <c:showSerName val="0"/>
          <c:showPercent val="0"/>
          <c:showBubbleSize val="0"/>
        </c:dLbls>
        <c:gapWidth val="150"/>
        <c:axId val="213326848"/>
        <c:axId val="213336832"/>
      </c:barChart>
      <c:catAx>
        <c:axId val="213326848"/>
        <c:scaling>
          <c:orientation val="minMax"/>
        </c:scaling>
        <c:delete val="0"/>
        <c:axPos val="b"/>
        <c:majorTickMark val="out"/>
        <c:minorTickMark val="none"/>
        <c:tickLblPos val="nextTo"/>
        <c:crossAx val="213336832"/>
        <c:crosses val="autoZero"/>
        <c:auto val="1"/>
        <c:lblAlgn val="ctr"/>
        <c:lblOffset val="100"/>
        <c:noMultiLvlLbl val="0"/>
      </c:catAx>
      <c:valAx>
        <c:axId val="213336832"/>
        <c:scaling>
          <c:orientation val="minMax"/>
        </c:scaling>
        <c:delete val="0"/>
        <c:axPos val="l"/>
        <c:numFmt formatCode="General" sourceLinked="1"/>
        <c:majorTickMark val="out"/>
        <c:minorTickMark val="none"/>
        <c:tickLblPos val="nextTo"/>
        <c:crossAx val="213326848"/>
        <c:crosses val="autoZero"/>
        <c:crossBetween val="between"/>
      </c:valAx>
    </c:plotArea>
    <c:plotVisOnly val="1"/>
    <c:dispBlanksAs val="gap"/>
    <c:showDLblsOverMax val="0"/>
  </c:chart>
  <c:spPr>
    <a:solidFill>
      <a:schemeClr val="bg1"/>
    </a:solidFill>
    <a:ln>
      <a:solidFill>
        <a:schemeClr val="bg1"/>
      </a:solidFill>
    </a:ln>
  </c:sp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Lst>
</c:chartSpace>
</file>

<file path=xl/charts/chart9.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[Sales_Performance_Dashboard.xlsx]PVT. TABLE!PivotTable4</c:name>
    <c:fmtId val="24"/>
  </c:pivotSource>
  <c:chart>
    <c:title>
      <c:tx>
        <c:rich>
          <a:bodyPr/>
          <a:lstStyle/>
          <a:p>
            <a:pPr marL="0" marR="0" indent="0" algn="ctr" defTabSz="914400" rtl="0" eaLnBrk="1" fontAlgn="auto" latinLnBrk="0" hangingPunct="1">
              <a:lnSpc>
                <a:spcPct val="100000"/>
              </a:lnSpc>
              <a:spcBef>
                <a:spcPts val="0"/>
              </a:spcBef>
              <a:spcAft>
                <a:spcPts val="0"/>
              </a:spcAft>
              <a:buClrTx/>
              <a:buSzTx/>
              <a:buFontTx/>
              <a:buNone/>
              <a:tabLst/>
              <a:defRPr sz="1200" b="0" i="0" u="none" strike="noStrike" kern="1200" baseline="0">
                <a:solidFill>
                  <a:sysClr val="windowText" lastClr="000000"/>
                </a:solidFill>
                <a:latin typeface="Arial" pitchFamily="34" charset="0"/>
                <a:ea typeface="+mn-ea"/>
                <a:cs typeface="Arial" pitchFamily="34" charset="0"/>
              </a:defRPr>
            </a:pPr>
            <a:r>
              <a:rPr lang="en-US" sz="1200" b="0" i="0" baseline="0">
                <a:effectLst/>
              </a:rPr>
              <a:t>BOTTOM 3 Salesperson</a:t>
            </a:r>
            <a:endParaRPr lang="en-US" sz="1200" b="0">
              <a:effectLst/>
            </a:endParaRPr>
          </a:p>
          <a:p>
            <a:pPr marL="0" marR="0" indent="0" algn="ctr" defTabSz="914400" rtl="0" eaLnBrk="1" fontAlgn="auto" latinLnBrk="0" hangingPunct="1">
              <a:lnSpc>
                <a:spcPct val="100000"/>
              </a:lnSpc>
              <a:spcBef>
                <a:spcPts val="0"/>
              </a:spcBef>
              <a:spcAft>
                <a:spcPts val="0"/>
              </a:spcAft>
              <a:buClrTx/>
              <a:buSzTx/>
              <a:buFontTx/>
              <a:buNone/>
              <a:tabLst/>
              <a:defRPr sz="1200" b="0" i="0" u="none" strike="noStrike" kern="1200" baseline="0">
                <a:solidFill>
                  <a:sysClr val="windowText" lastClr="000000"/>
                </a:solidFill>
                <a:latin typeface="Arial" pitchFamily="34" charset="0"/>
                <a:ea typeface="+mn-ea"/>
                <a:cs typeface="Arial" pitchFamily="34" charset="0"/>
              </a:defRPr>
            </a:pPr>
            <a:endParaRPr lang="en-US" sz="1200" b="0">
              <a:latin typeface="Arial" pitchFamily="34" charset="0"/>
              <a:cs typeface="Arial" pitchFamily="34" charset="0"/>
            </a:endParaRPr>
          </a:p>
        </c:rich>
      </c:tx>
      <c:layout/>
      <c:overlay val="0"/>
    </c:title>
    <c:autoTitleDeleted val="0"/>
    <c:pivotFmts>
      <c:pivotFmt>
        <c:idx val="0"/>
        <c:spPr>
          <a:solidFill>
            <a:srgbClr val="FF3399"/>
          </a:solidFill>
        </c:spPr>
        <c:marker>
          <c:symbol val="none"/>
        </c:marker>
        <c:dLbl>
          <c:idx val="0"/>
          <c:spPr/>
          <c:txPr>
            <a:bodyPr/>
            <a:lstStyle/>
            <a:p>
              <a:pPr>
                <a:defRPr/>
              </a:pPr>
              <a:endParaRPr lang="en-US"/>
            </a:p>
          </c:txPr>
          <c:showLegendKey val="0"/>
          <c:showVal val="1"/>
          <c:showCatName val="0"/>
          <c:showSerName val="0"/>
          <c:showPercent val="0"/>
          <c:showBubbleSize val="0"/>
        </c:dLbl>
      </c:pivotFmt>
      <c:pivotFmt>
        <c:idx val="1"/>
        <c:spPr>
          <a:solidFill>
            <a:srgbClr val="FF3399"/>
          </a:solidFill>
        </c:spPr>
        <c:marker>
          <c:symbol val="none"/>
        </c:marker>
        <c:dLbl>
          <c:idx val="0"/>
          <c:spPr/>
          <c:txPr>
            <a:bodyPr/>
            <a:lstStyle/>
            <a:p>
              <a:pPr>
                <a:defRPr/>
              </a:pPr>
              <a:endParaRPr lang="en-US"/>
            </a:p>
          </c:txPr>
          <c:showLegendKey val="0"/>
          <c:showVal val="1"/>
          <c:showCatName val="0"/>
          <c:showSerName val="0"/>
          <c:showPercent val="0"/>
          <c:showBubbleSize val="0"/>
        </c:dLbl>
      </c:pivotFmt>
      <c:pivotFmt>
        <c:idx val="2"/>
        <c:spPr>
          <a:solidFill>
            <a:srgbClr val="FF3399"/>
          </a:solidFill>
        </c:spPr>
        <c:marker>
          <c:symbol val="none"/>
        </c:marker>
        <c:dLbl>
          <c:idx val="0"/>
          <c:spPr/>
          <c:txPr>
            <a:bodyPr/>
            <a:lstStyle/>
            <a:p>
              <a:pPr>
                <a:defRPr/>
              </a:pPr>
              <a:endParaRPr lang="en-US"/>
            </a:p>
          </c:txPr>
          <c:showLegendKey val="0"/>
          <c:showVal val="1"/>
          <c:showCatName val="0"/>
          <c:showSerName val="0"/>
          <c:showPercent val="0"/>
          <c:showBubbleSize val="0"/>
        </c:dLbl>
      </c:pivotFmt>
      <c:pivotFmt>
        <c:idx val="3"/>
        <c:spPr>
          <a:solidFill>
            <a:srgbClr val="FF3399"/>
          </a:solidFill>
        </c:spPr>
        <c:marker>
          <c:symbol val="none"/>
        </c:marker>
        <c:dLbl>
          <c:idx val="0"/>
          <c:spPr/>
          <c:txPr>
            <a:bodyPr/>
            <a:lstStyle/>
            <a:p>
              <a:pPr>
                <a:defRPr/>
              </a:pPr>
              <a:endParaRPr lang="en-US"/>
            </a:p>
          </c:txPr>
          <c:showLegendKey val="0"/>
          <c:showVal val="1"/>
          <c:showCatName val="0"/>
          <c:showSerName val="0"/>
          <c:showPercent val="0"/>
          <c:showBubbleSize val="0"/>
        </c:dLbl>
      </c:pivotFmt>
      <c:pivotFmt>
        <c:idx val="4"/>
        <c:spPr>
          <a:solidFill>
            <a:srgbClr val="FF3399"/>
          </a:solidFill>
        </c:spPr>
        <c:marker>
          <c:symbol val="none"/>
        </c:marker>
        <c:dLbl>
          <c:idx val="0"/>
          <c:spPr/>
          <c:txPr>
            <a:bodyPr/>
            <a:lstStyle/>
            <a:p>
              <a:pPr>
                <a:defRPr/>
              </a:pPr>
              <a:endParaRPr lang="en-US"/>
            </a:p>
          </c:txPr>
          <c:showLegendKey val="0"/>
          <c:showVal val="1"/>
          <c:showCatName val="0"/>
          <c:showSerName val="0"/>
          <c:showPercent val="0"/>
          <c:showBubbleSize val="0"/>
        </c:dLbl>
      </c:pivotFmt>
      <c:pivotFmt>
        <c:idx val="5"/>
        <c:spPr>
          <a:solidFill>
            <a:srgbClr val="FF3399"/>
          </a:solidFill>
        </c:spPr>
        <c:marker>
          <c:symbol val="none"/>
        </c:marker>
        <c:dLbl>
          <c:idx val="0"/>
          <c:spPr/>
          <c:txPr>
            <a:bodyPr/>
            <a:lstStyle/>
            <a:p>
              <a:pPr>
                <a:defRPr/>
              </a:pPr>
              <a:endParaRPr lang="en-US"/>
            </a:p>
          </c:txPr>
          <c:showLegendKey val="0"/>
          <c:showVal val="1"/>
          <c:showCatName val="0"/>
          <c:showSerName val="0"/>
          <c:showPercent val="0"/>
          <c:showBubbleSize val="0"/>
        </c:dLbl>
      </c:pivotFmt>
      <c:pivotFmt>
        <c:idx val="6"/>
        <c:spPr>
          <a:solidFill>
            <a:srgbClr val="FF3399"/>
          </a:solidFill>
        </c:spPr>
        <c:marker>
          <c:symbol val="none"/>
        </c:marker>
        <c:dLbl>
          <c:idx val="0"/>
          <c:spPr/>
          <c:txPr>
            <a:bodyPr/>
            <a:lstStyle/>
            <a:p>
              <a:pPr>
                <a:defRPr/>
              </a:pPr>
              <a:endParaRPr lang="en-US"/>
            </a:p>
          </c:txPr>
          <c:showLegendKey val="0"/>
          <c:showVal val="1"/>
          <c:showCatName val="0"/>
          <c:showSerName val="0"/>
          <c:showPercent val="0"/>
          <c:showBubbleSize val="0"/>
        </c:dLbl>
      </c:pivotFmt>
      <c:pivotFmt>
        <c:idx val="7"/>
        <c:spPr>
          <a:solidFill>
            <a:srgbClr val="FF0066"/>
          </a:solidFill>
        </c:spPr>
        <c:marker>
          <c:symbol val="none"/>
        </c:marker>
        <c:dLbl>
          <c:idx val="0"/>
          <c:spPr/>
          <c:txPr>
            <a:bodyPr/>
            <a:lstStyle/>
            <a:p>
              <a:pPr>
                <a:defRPr/>
              </a:pPr>
              <a:endParaRPr lang="en-US"/>
            </a:p>
          </c:txPr>
          <c:showLegendKey val="0"/>
          <c:showVal val="1"/>
          <c:showCatName val="0"/>
          <c:showSerName val="0"/>
          <c:showPercent val="0"/>
          <c:showBubbleSize val="0"/>
        </c:dLbl>
      </c:pivotFmt>
      <c:pivotFmt>
        <c:idx val="8"/>
        <c:spPr>
          <a:solidFill>
            <a:srgbClr val="FF0066"/>
          </a:solidFill>
        </c:spPr>
        <c:marker>
          <c:symbol val="none"/>
        </c:marker>
        <c:dLbl>
          <c:idx val="0"/>
          <c:layout/>
          <c:spPr/>
          <c:txPr>
            <a:bodyPr/>
            <a:lstStyle/>
            <a:p>
              <a:pPr>
                <a:defRPr/>
              </a:pPr>
              <a:endParaRPr lang="en-US"/>
            </a:p>
          </c:txPr>
          <c:showLegendKey val="0"/>
          <c:showVal val="1"/>
          <c:showCatName val="0"/>
          <c:showSerName val="0"/>
          <c:showPercent val="0"/>
          <c:showBubbleSize val="0"/>
        </c:dLbl>
      </c:pivotFmt>
    </c:pivotFmts>
    <c:plotArea>
      <c:layout/>
      <c:barChart>
        <c:barDir val="col"/>
        <c:grouping val="clustered"/>
        <c:varyColors val="0"/>
        <c:ser>
          <c:idx val="0"/>
          <c:order val="0"/>
          <c:tx>
            <c:strRef>
              <c:f>'PVT. TABLE'!$P$29</c:f>
              <c:strCache>
                <c:ptCount val="1"/>
                <c:pt idx="0">
                  <c:v>Total</c:v>
                </c:pt>
              </c:strCache>
            </c:strRef>
          </c:tx>
          <c:spPr>
            <a:solidFill>
              <a:srgbClr val="FF0066"/>
            </a:solidFill>
          </c:spPr>
          <c:invertIfNegative val="0"/>
          <c:dLbls>
            <c:spPr/>
            <c:txPr>
              <a:bodyPr/>
              <a:lstStyle/>
              <a:p>
                <a:pPr>
                  <a:defRPr/>
                </a:pPr>
                <a:endParaRPr lang="en-US"/>
              </a:p>
            </c:txPr>
            <c:showLegendKey val="0"/>
            <c:showVal val="1"/>
            <c:showCatName val="0"/>
            <c:showSerName val="0"/>
            <c:showPercent val="0"/>
            <c:showBubbleSize val="0"/>
            <c:showLeaderLines val="0"/>
          </c:dLbls>
          <c:cat>
            <c:strRef>
              <c:f>'PVT. TABLE'!$O$30:$O$33</c:f>
              <c:strCache>
                <c:ptCount val="3"/>
                <c:pt idx="0">
                  <c:v>Amit</c:v>
                </c:pt>
                <c:pt idx="1">
                  <c:v>Neha</c:v>
                </c:pt>
                <c:pt idx="2">
                  <c:v>Pooja</c:v>
                </c:pt>
              </c:strCache>
            </c:strRef>
          </c:cat>
          <c:val>
            <c:numRef>
              <c:f>'PVT. TABLE'!$P$30:$P$33</c:f>
              <c:numCache>
                <c:formatCode>General</c:formatCode>
                <c:ptCount val="3"/>
                <c:pt idx="0">
                  <c:v>215668</c:v>
                </c:pt>
                <c:pt idx="1">
                  <c:v>362168</c:v>
                </c:pt>
                <c:pt idx="2">
                  <c:v>232116</c:v>
                </c:pt>
              </c:numCache>
            </c:numRef>
          </c:val>
        </c:ser>
        <c:dLbls>
          <c:showLegendKey val="0"/>
          <c:showVal val="0"/>
          <c:showCatName val="0"/>
          <c:showSerName val="0"/>
          <c:showPercent val="0"/>
          <c:showBubbleSize val="0"/>
        </c:dLbls>
        <c:gapWidth val="150"/>
        <c:axId val="213401600"/>
        <c:axId val="213403136"/>
      </c:barChart>
      <c:catAx>
        <c:axId val="213401600"/>
        <c:scaling>
          <c:orientation val="minMax"/>
        </c:scaling>
        <c:delete val="0"/>
        <c:axPos val="b"/>
        <c:majorTickMark val="out"/>
        <c:minorTickMark val="none"/>
        <c:tickLblPos val="nextTo"/>
        <c:crossAx val="213403136"/>
        <c:crosses val="autoZero"/>
        <c:auto val="1"/>
        <c:lblAlgn val="ctr"/>
        <c:lblOffset val="100"/>
        <c:noMultiLvlLbl val="0"/>
      </c:catAx>
      <c:valAx>
        <c:axId val="213403136"/>
        <c:scaling>
          <c:orientation val="minMax"/>
        </c:scaling>
        <c:delete val="0"/>
        <c:axPos val="l"/>
        <c:numFmt formatCode="General" sourceLinked="1"/>
        <c:majorTickMark val="out"/>
        <c:minorTickMark val="none"/>
        <c:tickLblPos val="nextTo"/>
        <c:crossAx val="213401600"/>
        <c:crosses val="autoZero"/>
        <c:crossBetween val="between"/>
      </c:valAx>
    </c:plotArea>
    <c:plotVisOnly val="1"/>
    <c:dispBlanksAs val="gap"/>
    <c:showDLblsOverMax val="0"/>
  </c:chart>
  <c:spPr>
    <a:solidFill>
      <a:schemeClr val="bg1"/>
    </a:solidFill>
    <a:ln>
      <a:solidFill>
        <a:schemeClr val="bg1"/>
      </a:solidFill>
    </a:ln>
  </c:sp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Lst>
</c:chartSpace>
</file>

<file path=xl/drawings/_rels/drawing1.xml.rels><?xml version="1.0" encoding="UTF-8" standalone="yes"?>
<Relationships xmlns="http://schemas.openxmlformats.org/package/2006/relationships"><Relationship Id="rId8" Type="http://schemas.openxmlformats.org/officeDocument/2006/relationships/image" Target="../media/image1.png"/><Relationship Id="rId13" Type="http://schemas.microsoft.com/office/2007/relationships/hdphoto" Target="../media/hdphoto3.wdp"/><Relationship Id="rId3" Type="http://schemas.openxmlformats.org/officeDocument/2006/relationships/hyperlink" Target="#SALESPERSON!A1"/><Relationship Id="rId7" Type="http://schemas.openxmlformats.org/officeDocument/2006/relationships/chart" Target="../charts/chart3.xml"/><Relationship Id="rId12" Type="http://schemas.openxmlformats.org/officeDocument/2006/relationships/image" Target="../media/image3.png"/><Relationship Id="rId2" Type="http://schemas.openxmlformats.org/officeDocument/2006/relationships/hyperlink" Target="#PRODUCT!A1"/><Relationship Id="rId1" Type="http://schemas.openxmlformats.org/officeDocument/2006/relationships/hyperlink" Target="#DASHBOARD!A1"/><Relationship Id="rId6" Type="http://schemas.openxmlformats.org/officeDocument/2006/relationships/chart" Target="../charts/chart2.xml"/><Relationship Id="rId11" Type="http://schemas.microsoft.com/office/2007/relationships/hdphoto" Target="../media/hdphoto2.wdp"/><Relationship Id="rId5" Type="http://schemas.openxmlformats.org/officeDocument/2006/relationships/chart" Target="../charts/chart1.xml"/><Relationship Id="rId10" Type="http://schemas.openxmlformats.org/officeDocument/2006/relationships/image" Target="../media/image2.png"/><Relationship Id="rId4" Type="http://schemas.openxmlformats.org/officeDocument/2006/relationships/hyperlink" Target="#CONCLUSION!A1"/><Relationship Id="rId9" Type="http://schemas.microsoft.com/office/2007/relationships/hdphoto" Target="../media/hdphoto1.wdp"/></Relationships>
</file>

<file path=xl/drawings/_rels/drawing2.xml.rels><?xml version="1.0" encoding="UTF-8" standalone="yes"?>
<Relationships xmlns="http://schemas.openxmlformats.org/package/2006/relationships"><Relationship Id="rId8" Type="http://schemas.openxmlformats.org/officeDocument/2006/relationships/chart" Target="../charts/chart5.xml"/><Relationship Id="rId3" Type="http://schemas.openxmlformats.org/officeDocument/2006/relationships/hyperlink" Target="#SALESPERSON!A1"/><Relationship Id="rId7" Type="http://schemas.openxmlformats.org/officeDocument/2006/relationships/chart" Target="../charts/chart4.xml"/><Relationship Id="rId2" Type="http://schemas.openxmlformats.org/officeDocument/2006/relationships/hyperlink" Target="#PRODUCT!A1"/><Relationship Id="rId1" Type="http://schemas.openxmlformats.org/officeDocument/2006/relationships/hyperlink" Target="#DASHBOARD!A1"/><Relationship Id="rId6" Type="http://schemas.microsoft.com/office/2007/relationships/hdphoto" Target="../media/hdphoto4.wdp"/><Relationship Id="rId5" Type="http://schemas.openxmlformats.org/officeDocument/2006/relationships/image" Target="../media/image4.png"/><Relationship Id="rId4" Type="http://schemas.openxmlformats.org/officeDocument/2006/relationships/hyperlink" Target="#CONCLUSION!A1"/><Relationship Id="rId9" Type="http://schemas.openxmlformats.org/officeDocument/2006/relationships/chart" Target="../charts/chart6.xml"/></Relationships>
</file>

<file path=xl/drawings/_rels/drawing3.xml.rels><?xml version="1.0" encoding="UTF-8" standalone="yes"?>
<Relationships xmlns="http://schemas.openxmlformats.org/package/2006/relationships"><Relationship Id="rId8" Type="http://schemas.microsoft.com/office/2007/relationships/hdphoto" Target="../media/hdphoto4.wdp"/><Relationship Id="rId3" Type="http://schemas.openxmlformats.org/officeDocument/2006/relationships/hyperlink" Target="#SALESPERSON!A1"/><Relationship Id="rId7" Type="http://schemas.openxmlformats.org/officeDocument/2006/relationships/image" Target="../media/image4.png"/><Relationship Id="rId2" Type="http://schemas.openxmlformats.org/officeDocument/2006/relationships/hyperlink" Target="#PRODUCT!A1"/><Relationship Id="rId1" Type="http://schemas.openxmlformats.org/officeDocument/2006/relationships/hyperlink" Target="#DASHBOARD!A1"/><Relationship Id="rId6" Type="http://schemas.openxmlformats.org/officeDocument/2006/relationships/chart" Target="../charts/chart8.xml"/><Relationship Id="rId5" Type="http://schemas.openxmlformats.org/officeDocument/2006/relationships/chart" Target="../charts/chart7.xml"/><Relationship Id="rId4" Type="http://schemas.openxmlformats.org/officeDocument/2006/relationships/hyperlink" Target="#CONCLUSION!A1"/><Relationship Id="rId9" Type="http://schemas.openxmlformats.org/officeDocument/2006/relationships/chart" Target="../charts/chart9.xml"/></Relationships>
</file>

<file path=xl/drawings/_rels/drawing4.xml.rels><?xml version="1.0" encoding="UTF-8" standalone="yes"?>
<Relationships xmlns="http://schemas.openxmlformats.org/package/2006/relationships"><Relationship Id="rId3" Type="http://schemas.openxmlformats.org/officeDocument/2006/relationships/hyperlink" Target="#SALESPERSON!A1"/><Relationship Id="rId2" Type="http://schemas.openxmlformats.org/officeDocument/2006/relationships/hyperlink" Target="#PRODUCT!A1"/><Relationship Id="rId1" Type="http://schemas.openxmlformats.org/officeDocument/2006/relationships/hyperlink" Target="#DASHBOARD!A1"/><Relationship Id="rId4" Type="http://schemas.openxmlformats.org/officeDocument/2006/relationships/hyperlink" Target="#CONCLUSION!A1"/></Relationships>
</file>

<file path=xl/drawings/drawing1.xml><?xml version="1.0" encoding="utf-8"?>
<xdr:wsDr xmlns:xdr="http://schemas.openxmlformats.org/drawingml/2006/spreadsheetDrawing" xmlns:a="http://schemas.openxmlformats.org/drawingml/2006/main">
  <xdr:twoCellAnchor>
    <xdr:from>
      <xdr:col>0</xdr:col>
      <xdr:colOff>19050</xdr:colOff>
      <xdr:row>3</xdr:row>
      <xdr:rowOff>40901</xdr:rowOff>
    </xdr:from>
    <xdr:to>
      <xdr:col>19</xdr:col>
      <xdr:colOff>533402</xdr:colOff>
      <xdr:row>28</xdr:row>
      <xdr:rowOff>69476</xdr:rowOff>
    </xdr:to>
    <xdr:grpSp>
      <xdr:nvGrpSpPr>
        <xdr:cNvPr id="3" name="Group 2"/>
        <xdr:cNvGrpSpPr/>
      </xdr:nvGrpSpPr>
      <xdr:grpSpPr>
        <a:xfrm>
          <a:off x="19050" y="612401"/>
          <a:ext cx="12011587" cy="4791075"/>
          <a:chOff x="19050" y="85725"/>
          <a:chExt cx="12096752" cy="4791075"/>
        </a:xfrm>
      </xdr:grpSpPr>
      <xdr:grpSp>
        <xdr:nvGrpSpPr>
          <xdr:cNvPr id="2" name="Group 1"/>
          <xdr:cNvGrpSpPr/>
        </xdr:nvGrpSpPr>
        <xdr:grpSpPr>
          <a:xfrm>
            <a:off x="19050" y="85725"/>
            <a:ext cx="12096752" cy="4791075"/>
            <a:chOff x="19050" y="85725"/>
            <a:chExt cx="12148663" cy="4847771"/>
          </a:xfrm>
        </xdr:grpSpPr>
        <xdr:grpSp>
          <xdr:nvGrpSpPr>
            <xdr:cNvPr id="24" name="Group 23"/>
            <xdr:cNvGrpSpPr/>
          </xdr:nvGrpSpPr>
          <xdr:grpSpPr>
            <a:xfrm>
              <a:off x="19050" y="85725"/>
              <a:ext cx="12148663" cy="4847771"/>
              <a:chOff x="200026" y="438150"/>
              <a:chExt cx="10279853" cy="4229100"/>
            </a:xfrm>
          </xdr:grpSpPr>
          <xdr:sp macro="" textlink="">
            <xdr:nvSpPr>
              <xdr:cNvPr id="25" name="Rounded Rectangle 24"/>
              <xdr:cNvSpPr/>
            </xdr:nvSpPr>
            <xdr:spPr>
              <a:xfrm>
                <a:off x="200026" y="438150"/>
                <a:ext cx="10279853" cy="4229100"/>
              </a:xfrm>
              <a:prstGeom prst="rect">
                <a:avLst/>
              </a:prstGeom>
              <a:solidFill>
                <a:srgbClr val="FF0066">
                  <a:alpha val="78039"/>
                </a:srgb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26" name="Rounded Rectangle 3"/>
              <xdr:cNvSpPr/>
            </xdr:nvSpPr>
            <xdr:spPr>
              <a:xfrm>
                <a:off x="2019429" y="438151"/>
                <a:ext cx="8421202" cy="4219574"/>
              </a:xfrm>
              <a:custGeom>
                <a:avLst/>
                <a:gdLst>
                  <a:gd name="connsiteX0" fmla="*/ 0 w 9860810"/>
                  <a:gd name="connsiteY0" fmla="*/ 796730 h 4780283"/>
                  <a:gd name="connsiteX1" fmla="*/ 796730 w 9860810"/>
                  <a:gd name="connsiteY1" fmla="*/ 0 h 4780283"/>
                  <a:gd name="connsiteX2" fmla="*/ 9064080 w 9860810"/>
                  <a:gd name="connsiteY2" fmla="*/ 0 h 4780283"/>
                  <a:gd name="connsiteX3" fmla="*/ 9860810 w 9860810"/>
                  <a:gd name="connsiteY3" fmla="*/ 796730 h 4780283"/>
                  <a:gd name="connsiteX4" fmla="*/ 9860810 w 9860810"/>
                  <a:gd name="connsiteY4" fmla="*/ 3983553 h 4780283"/>
                  <a:gd name="connsiteX5" fmla="*/ 9064080 w 9860810"/>
                  <a:gd name="connsiteY5" fmla="*/ 4780283 h 4780283"/>
                  <a:gd name="connsiteX6" fmla="*/ 796730 w 9860810"/>
                  <a:gd name="connsiteY6" fmla="*/ 4780283 h 4780283"/>
                  <a:gd name="connsiteX7" fmla="*/ 0 w 9860810"/>
                  <a:gd name="connsiteY7" fmla="*/ 3983553 h 4780283"/>
                  <a:gd name="connsiteX8" fmla="*/ 0 w 9860810"/>
                  <a:gd name="connsiteY8" fmla="*/ 796730 h 4780283"/>
                  <a:gd name="connsiteX0" fmla="*/ 0 w 9862241"/>
                  <a:gd name="connsiteY0" fmla="*/ 796730 h 4780283"/>
                  <a:gd name="connsiteX1" fmla="*/ 796730 w 9862241"/>
                  <a:gd name="connsiteY1" fmla="*/ 0 h 4780283"/>
                  <a:gd name="connsiteX2" fmla="*/ 9467491 w 9862241"/>
                  <a:gd name="connsiteY2" fmla="*/ 0 h 4780283"/>
                  <a:gd name="connsiteX3" fmla="*/ 9860810 w 9862241"/>
                  <a:gd name="connsiteY3" fmla="*/ 796730 h 4780283"/>
                  <a:gd name="connsiteX4" fmla="*/ 9860810 w 9862241"/>
                  <a:gd name="connsiteY4" fmla="*/ 3983553 h 4780283"/>
                  <a:gd name="connsiteX5" fmla="*/ 9064080 w 9862241"/>
                  <a:gd name="connsiteY5" fmla="*/ 4780283 h 4780283"/>
                  <a:gd name="connsiteX6" fmla="*/ 796730 w 9862241"/>
                  <a:gd name="connsiteY6" fmla="*/ 4780283 h 4780283"/>
                  <a:gd name="connsiteX7" fmla="*/ 0 w 9862241"/>
                  <a:gd name="connsiteY7" fmla="*/ 3983553 h 4780283"/>
                  <a:gd name="connsiteX8" fmla="*/ 0 w 9862241"/>
                  <a:gd name="connsiteY8" fmla="*/ 796730 h 4780283"/>
                  <a:gd name="connsiteX0" fmla="*/ 0 w 9862241"/>
                  <a:gd name="connsiteY0" fmla="*/ 796730 h 4780283"/>
                  <a:gd name="connsiteX1" fmla="*/ 796730 w 9862241"/>
                  <a:gd name="connsiteY1" fmla="*/ 0 h 4780283"/>
                  <a:gd name="connsiteX2" fmla="*/ 9467491 w 9862241"/>
                  <a:gd name="connsiteY2" fmla="*/ 0 h 4780283"/>
                  <a:gd name="connsiteX3" fmla="*/ 9860810 w 9862241"/>
                  <a:gd name="connsiteY3" fmla="*/ 796730 h 4780283"/>
                  <a:gd name="connsiteX4" fmla="*/ 9860810 w 9862241"/>
                  <a:gd name="connsiteY4" fmla="*/ 4319730 h 4780283"/>
                  <a:gd name="connsiteX5" fmla="*/ 9064080 w 9862241"/>
                  <a:gd name="connsiteY5" fmla="*/ 4780283 h 4780283"/>
                  <a:gd name="connsiteX6" fmla="*/ 796730 w 9862241"/>
                  <a:gd name="connsiteY6" fmla="*/ 4780283 h 4780283"/>
                  <a:gd name="connsiteX7" fmla="*/ 0 w 9862241"/>
                  <a:gd name="connsiteY7" fmla="*/ 3983553 h 4780283"/>
                  <a:gd name="connsiteX8" fmla="*/ 0 w 9862241"/>
                  <a:gd name="connsiteY8" fmla="*/ 796730 h 4780283"/>
                  <a:gd name="connsiteX0" fmla="*/ 22412 w 9862241"/>
                  <a:gd name="connsiteY0" fmla="*/ 482965 h 4780283"/>
                  <a:gd name="connsiteX1" fmla="*/ 796730 w 9862241"/>
                  <a:gd name="connsiteY1" fmla="*/ 0 h 4780283"/>
                  <a:gd name="connsiteX2" fmla="*/ 9467491 w 9862241"/>
                  <a:gd name="connsiteY2" fmla="*/ 0 h 4780283"/>
                  <a:gd name="connsiteX3" fmla="*/ 9860810 w 9862241"/>
                  <a:gd name="connsiteY3" fmla="*/ 796730 h 4780283"/>
                  <a:gd name="connsiteX4" fmla="*/ 9860810 w 9862241"/>
                  <a:gd name="connsiteY4" fmla="*/ 4319730 h 4780283"/>
                  <a:gd name="connsiteX5" fmla="*/ 9064080 w 9862241"/>
                  <a:gd name="connsiteY5" fmla="*/ 4780283 h 4780283"/>
                  <a:gd name="connsiteX6" fmla="*/ 796730 w 9862241"/>
                  <a:gd name="connsiteY6" fmla="*/ 4780283 h 4780283"/>
                  <a:gd name="connsiteX7" fmla="*/ 0 w 9862241"/>
                  <a:gd name="connsiteY7" fmla="*/ 3983553 h 4780283"/>
                  <a:gd name="connsiteX8" fmla="*/ 22412 w 9862241"/>
                  <a:gd name="connsiteY8" fmla="*/ 482965 h 4780283"/>
                  <a:gd name="connsiteX0" fmla="*/ 0 w 9839829"/>
                  <a:gd name="connsiteY0" fmla="*/ 482965 h 4780283"/>
                  <a:gd name="connsiteX1" fmla="*/ 774318 w 9839829"/>
                  <a:gd name="connsiteY1" fmla="*/ 0 h 4780283"/>
                  <a:gd name="connsiteX2" fmla="*/ 9445079 w 9839829"/>
                  <a:gd name="connsiteY2" fmla="*/ 0 h 4780283"/>
                  <a:gd name="connsiteX3" fmla="*/ 9838398 w 9839829"/>
                  <a:gd name="connsiteY3" fmla="*/ 796730 h 4780283"/>
                  <a:gd name="connsiteX4" fmla="*/ 9838398 w 9839829"/>
                  <a:gd name="connsiteY4" fmla="*/ 4319730 h 4780283"/>
                  <a:gd name="connsiteX5" fmla="*/ 9041668 w 9839829"/>
                  <a:gd name="connsiteY5" fmla="*/ 4780283 h 4780283"/>
                  <a:gd name="connsiteX6" fmla="*/ 774318 w 9839829"/>
                  <a:gd name="connsiteY6" fmla="*/ 4780283 h 4780283"/>
                  <a:gd name="connsiteX7" fmla="*/ 22411 w 9839829"/>
                  <a:gd name="connsiteY7" fmla="*/ 4330936 h 4780283"/>
                  <a:gd name="connsiteX8" fmla="*/ 0 w 9839829"/>
                  <a:gd name="connsiteY8" fmla="*/ 482965 h 4780283"/>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Lst>
                <a:rect l="l" t="t" r="r" b="b"/>
                <a:pathLst>
                  <a:path w="9839829" h="4780283">
                    <a:moveTo>
                      <a:pt x="0" y="482965"/>
                    </a:moveTo>
                    <a:cubicBezTo>
                      <a:pt x="0" y="42943"/>
                      <a:pt x="334296" y="0"/>
                      <a:pt x="774318" y="0"/>
                    </a:cubicBezTo>
                    <a:lnTo>
                      <a:pt x="9445079" y="0"/>
                    </a:lnTo>
                    <a:cubicBezTo>
                      <a:pt x="9885101" y="0"/>
                      <a:pt x="9838398" y="356708"/>
                      <a:pt x="9838398" y="796730"/>
                    </a:cubicBezTo>
                    <a:lnTo>
                      <a:pt x="9838398" y="4319730"/>
                    </a:lnTo>
                    <a:cubicBezTo>
                      <a:pt x="9838398" y="4759752"/>
                      <a:pt x="9481690" y="4780283"/>
                      <a:pt x="9041668" y="4780283"/>
                    </a:cubicBezTo>
                    <a:lnTo>
                      <a:pt x="774318" y="4780283"/>
                    </a:lnTo>
                    <a:cubicBezTo>
                      <a:pt x="334296" y="4780283"/>
                      <a:pt x="22411" y="4770958"/>
                      <a:pt x="22411" y="4330936"/>
                    </a:cubicBezTo>
                    <a:lnTo>
                      <a:pt x="0" y="482965"/>
                    </a:lnTo>
                    <a:close/>
                  </a:path>
                </a:pathLst>
              </a:custGeom>
              <a:solidFill>
                <a:schemeClr val="accent6">
                  <a:lumMod val="20000"/>
                  <a:lumOff val="8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27" name="Rounded Rectangle 26">
                <a:hlinkClick xmlns:r="http://schemas.openxmlformats.org/officeDocument/2006/relationships" r:id="rId1"/>
              </xdr:cNvPr>
              <xdr:cNvSpPr/>
            </xdr:nvSpPr>
            <xdr:spPr>
              <a:xfrm>
                <a:off x="628650" y="1066800"/>
                <a:ext cx="1147293" cy="437291"/>
              </a:xfrm>
              <a:prstGeom prst="rect">
                <a:avLst/>
              </a:prstGeom>
              <a:solidFill>
                <a:sysClr val="window" lastClr="FFFFF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200" b="1">
                    <a:solidFill>
                      <a:srgbClr val="FF0066"/>
                    </a:solidFill>
                    <a:latin typeface="Arial Black" pitchFamily="34" charset="0"/>
                  </a:rPr>
                  <a:t>DASHBOARD</a:t>
                </a:r>
                <a:endParaRPr lang="en-US" sz="900" b="1">
                  <a:solidFill>
                    <a:srgbClr val="FF0066"/>
                  </a:solidFill>
                  <a:latin typeface="Arial Black" pitchFamily="34" charset="0"/>
                </a:endParaRPr>
              </a:p>
            </xdr:txBody>
          </xdr:sp>
          <xdr:sp macro="" textlink="">
            <xdr:nvSpPr>
              <xdr:cNvPr id="28" name="Rounded Rectangle 27">
                <a:hlinkClick xmlns:r="http://schemas.openxmlformats.org/officeDocument/2006/relationships" r:id="rId2"/>
              </xdr:cNvPr>
              <xdr:cNvSpPr/>
            </xdr:nvSpPr>
            <xdr:spPr>
              <a:xfrm>
                <a:off x="600075" y="1847848"/>
                <a:ext cx="1144459" cy="440936"/>
              </a:xfrm>
              <a:prstGeom prst="rect">
                <a:avLst/>
              </a:prstGeom>
              <a:solidFill>
                <a:schemeClr val="accent6">
                  <a:lumMod val="60000"/>
                  <a:lumOff val="4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200" b="1">
                    <a:solidFill>
                      <a:schemeClr val="tx1"/>
                    </a:solidFill>
                    <a:latin typeface="Arial Black" pitchFamily="34" charset="0"/>
                    <a:ea typeface="+mn-ea"/>
                    <a:cs typeface="+mn-cs"/>
                  </a:rPr>
                  <a:t>PRODUCT</a:t>
                </a:r>
                <a:endParaRPr lang="en-US" sz="900" b="1">
                  <a:solidFill>
                    <a:schemeClr val="tx1"/>
                  </a:solidFill>
                  <a:latin typeface="Arial Black" pitchFamily="34" charset="0"/>
                  <a:ea typeface="+mn-ea"/>
                  <a:cs typeface="+mn-cs"/>
                </a:endParaRPr>
              </a:p>
            </xdr:txBody>
          </xdr:sp>
          <xdr:sp macro="" textlink="">
            <xdr:nvSpPr>
              <xdr:cNvPr id="29" name="Rounded Rectangle 28">
                <a:hlinkClick xmlns:r="http://schemas.openxmlformats.org/officeDocument/2006/relationships" r:id="rId3"/>
              </xdr:cNvPr>
              <xdr:cNvSpPr/>
            </xdr:nvSpPr>
            <xdr:spPr>
              <a:xfrm>
                <a:off x="581025" y="2609850"/>
                <a:ext cx="1144459" cy="436822"/>
              </a:xfrm>
              <a:prstGeom prst="rect">
                <a:avLst/>
              </a:prstGeom>
              <a:solidFill>
                <a:schemeClr val="accent6">
                  <a:lumMod val="60000"/>
                  <a:lumOff val="4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050" b="1">
                    <a:solidFill>
                      <a:schemeClr val="tx1"/>
                    </a:solidFill>
                    <a:latin typeface="Arial Black" pitchFamily="34" charset="0"/>
                    <a:ea typeface="+mn-ea"/>
                    <a:cs typeface="+mn-cs"/>
                  </a:rPr>
                  <a:t>SALESPERSON</a:t>
                </a:r>
                <a:endParaRPr lang="en-US" sz="900" b="1">
                  <a:solidFill>
                    <a:schemeClr val="tx1"/>
                  </a:solidFill>
                  <a:latin typeface="Arial Black" pitchFamily="34" charset="0"/>
                  <a:ea typeface="+mn-ea"/>
                  <a:cs typeface="+mn-cs"/>
                </a:endParaRPr>
              </a:p>
            </xdr:txBody>
          </xdr:sp>
          <xdr:sp macro="" textlink="">
            <xdr:nvSpPr>
              <xdr:cNvPr id="30" name="Rounded Rectangle 29">
                <a:hlinkClick xmlns:r="http://schemas.openxmlformats.org/officeDocument/2006/relationships" r:id="rId4"/>
              </xdr:cNvPr>
              <xdr:cNvSpPr/>
            </xdr:nvSpPr>
            <xdr:spPr>
              <a:xfrm>
                <a:off x="590550" y="3448048"/>
                <a:ext cx="1144459" cy="440936"/>
              </a:xfrm>
              <a:prstGeom prst="rect">
                <a:avLst/>
              </a:prstGeom>
              <a:solidFill>
                <a:schemeClr val="accent6">
                  <a:lumMod val="60000"/>
                  <a:lumOff val="4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b="1">
                    <a:solidFill>
                      <a:schemeClr val="tx1"/>
                    </a:solidFill>
                    <a:latin typeface="Arial Black" pitchFamily="34" charset="0"/>
                    <a:ea typeface="+mn-ea"/>
                    <a:cs typeface="+mn-cs"/>
                  </a:rPr>
                  <a:t>CONCLUSION</a:t>
                </a:r>
                <a:endParaRPr lang="en-US" sz="900" b="1">
                  <a:solidFill>
                    <a:schemeClr val="tx1"/>
                  </a:solidFill>
                  <a:latin typeface="Arial Black" pitchFamily="34" charset="0"/>
                  <a:ea typeface="+mn-ea"/>
                  <a:cs typeface="+mn-cs"/>
                </a:endParaRPr>
              </a:p>
            </xdr:txBody>
          </xdr:sp>
          <mc:AlternateContent xmlns:mc="http://schemas.openxmlformats.org/markup-compatibility/2006" xmlns:a14="http://schemas.microsoft.com/office/drawing/2010/main">
            <mc:Choice Requires="a14">
              <xdr:graphicFrame macro="">
                <xdr:nvGraphicFramePr>
                  <xdr:cNvPr id="33" name="Product 6"/>
                  <xdr:cNvGraphicFramePr/>
                </xdr:nvGraphicFramePr>
                <xdr:xfrm>
                  <a:off x="2170067" y="1483081"/>
                  <a:ext cx="8131431" cy="636620"/>
                </xdr:xfrm>
                <a:graphic>
                  <a:graphicData uri="http://schemas.microsoft.com/office/drawing/2010/slicer">
                    <sle:slicer xmlns:sle="http://schemas.microsoft.com/office/drawing/2010/slicer" name="Product 6"/>
                  </a:graphicData>
                </a:graphic>
              </xdr:graphicFrame>
            </mc:Choice>
            <mc:Fallback xmlns="">
              <xdr:sp macro="" textlink="">
                <xdr:nvSpPr>
                  <xdr:cNvPr id="0" name=""/>
                  <xdr:cNvSpPr>
                    <a:spLocks noTextEdit="1"/>
                  </xdr:cNvSpPr>
                </xdr:nvSpPr>
                <xdr:spPr>
                  <a:xfrm>
                    <a:off x="2320962" y="1796185"/>
                    <a:ext cx="9501244" cy="721216"/>
                  </a:xfrm>
                  <a:prstGeom prst="rect">
                    <a:avLst/>
                  </a:prstGeom>
                  <a:solidFill>
                    <a:prstClr val="white"/>
                  </a:solidFill>
                  <a:ln w="1">
                    <a:solidFill>
                      <a:prstClr val="green"/>
                    </a:solidFill>
                  </a:ln>
                </xdr:spPr>
                <xdr:txBody>
                  <a:bodyPr vertOverflow="clip" horzOverflow="clip"/>
                  <a:lstStyle/>
                  <a:p>
                    <a:r>
                      <a:rPr lang="en-US" sz="1100"/>
                      <a:t>This shape represents a slicer. Slicers can be used in at least Excel 2010.
If the shape was modified in an earlier version of Excel, or if the workbook was saved in Excel 2003 or earlier, the slicer cannot be used.</a:t>
                    </a:r>
                  </a:p>
                </xdr:txBody>
              </xdr:sp>
            </mc:Fallback>
          </mc:AlternateContent>
        </xdr:grpSp>
        <xdr:graphicFrame macro="">
          <xdr:nvGraphicFramePr>
            <xdr:cNvPr id="34" name="Chart 33"/>
            <xdr:cNvGraphicFramePr>
              <a:graphicFrameLocks/>
            </xdr:cNvGraphicFramePr>
          </xdr:nvGraphicFramePr>
          <xdr:xfrm>
            <a:off x="2341790" y="2810931"/>
            <a:ext cx="3193582" cy="1995574"/>
          </xdr:xfrm>
          <a:graphic>
            <a:graphicData uri="http://schemas.openxmlformats.org/drawingml/2006/chart">
              <c:chart xmlns:c="http://schemas.openxmlformats.org/drawingml/2006/chart" xmlns:r="http://schemas.openxmlformats.org/officeDocument/2006/relationships" r:id="rId5"/>
            </a:graphicData>
          </a:graphic>
        </xdr:graphicFrame>
        <xdr:graphicFrame macro="">
          <xdr:nvGraphicFramePr>
            <xdr:cNvPr id="35" name="Chart 34"/>
            <xdr:cNvGraphicFramePr>
              <a:graphicFrameLocks/>
            </xdr:cNvGraphicFramePr>
          </xdr:nvGraphicFramePr>
          <xdr:xfrm>
            <a:off x="5663293" y="2822575"/>
            <a:ext cx="2814145" cy="1949915"/>
          </xdr:xfrm>
          <a:graphic>
            <a:graphicData uri="http://schemas.openxmlformats.org/drawingml/2006/chart">
              <c:chart xmlns:c="http://schemas.openxmlformats.org/drawingml/2006/chart" xmlns:r="http://schemas.openxmlformats.org/officeDocument/2006/relationships" r:id="rId6"/>
            </a:graphicData>
          </a:graphic>
        </xdr:graphicFrame>
        <xdr:graphicFrame macro="">
          <xdr:nvGraphicFramePr>
            <xdr:cNvPr id="14" name="Chart 13"/>
            <xdr:cNvGraphicFramePr>
              <a:graphicFrameLocks/>
            </xdr:cNvGraphicFramePr>
          </xdr:nvGraphicFramePr>
          <xdr:xfrm>
            <a:off x="8568107" y="2803524"/>
            <a:ext cx="3400129" cy="1980303"/>
          </xdr:xfrm>
          <a:graphic>
            <a:graphicData uri="http://schemas.openxmlformats.org/drawingml/2006/chart">
              <c:chart xmlns:c="http://schemas.openxmlformats.org/drawingml/2006/chart" xmlns:r="http://schemas.openxmlformats.org/officeDocument/2006/relationships" r:id="rId7"/>
            </a:graphicData>
          </a:graphic>
        </xdr:graphicFrame>
      </xdr:grpSp>
      <xdr:grpSp>
        <xdr:nvGrpSpPr>
          <xdr:cNvPr id="16" name="Group 15"/>
          <xdr:cNvGrpSpPr/>
        </xdr:nvGrpSpPr>
        <xdr:grpSpPr>
          <a:xfrm>
            <a:off x="2358117" y="2214308"/>
            <a:ext cx="1913164" cy="458626"/>
            <a:chOff x="2371725" y="2125205"/>
            <a:chExt cx="1924050" cy="463162"/>
          </a:xfrm>
        </xdr:grpSpPr>
        <xdr:sp macro="" textlink="">
          <xdr:nvSpPr>
            <xdr:cNvPr id="17" name="Rounded Rectangle 16"/>
            <xdr:cNvSpPr/>
          </xdr:nvSpPr>
          <xdr:spPr>
            <a:xfrm>
              <a:off x="2847975" y="2229980"/>
              <a:ext cx="1447800" cy="358387"/>
            </a:xfrm>
            <a:prstGeom prst="rect">
              <a:avLst/>
            </a:prstGeom>
            <a:solidFill>
              <a:schemeClr val="accent6">
                <a:lumMod val="20000"/>
                <a:lumOff val="8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algn="r"/>
              <a:r>
                <a:rPr lang="en-US" sz="1400" b="1">
                  <a:solidFill>
                    <a:sysClr val="windowText" lastClr="000000"/>
                  </a:solidFill>
                  <a:latin typeface="Arial Black" pitchFamily="34" charset="0"/>
                </a:rPr>
                <a:t>ANALYTICS</a:t>
              </a:r>
              <a:endParaRPr lang="en-US" sz="1000" b="1">
                <a:solidFill>
                  <a:sysClr val="windowText" lastClr="000000"/>
                </a:solidFill>
                <a:latin typeface="Arial Black" pitchFamily="34" charset="0"/>
              </a:endParaRPr>
            </a:p>
          </xdr:txBody>
        </xdr:sp>
        <xdr:pic>
          <xdr:nvPicPr>
            <xdr:cNvPr id="18" name="Picture 17"/>
            <xdr:cNvPicPr>
              <a:picLocks noChangeAspect="1"/>
            </xdr:cNvPicPr>
          </xdr:nvPicPr>
          <xdr:blipFill rotWithShape="1">
            <a:blip xmlns:r="http://schemas.openxmlformats.org/officeDocument/2006/relationships" r:embed="rId8" cstate="print">
              <a:extLst>
                <a:ext uri="{BEBA8EAE-BF5A-486C-A8C5-ECC9F3942E4B}">
                  <a14:imgProps xmlns:a14="http://schemas.microsoft.com/office/drawing/2010/main">
                    <a14:imgLayer r:embed="rId9">
                      <a14:imgEffect>
                        <a14:backgroundRemoval t="10000" b="90000" l="10000" r="90000">
                          <a14:foregroundMark x1="14080" y1="84375" x2="13506" y2="55966"/>
                          <a14:foregroundMark x1="13506" y1="55398" x2="26437" y2="55682"/>
                          <a14:foregroundMark x1="30460" y1="42614" x2="43391" y2="41761"/>
                          <a14:foregroundMark x1="63793" y1="34091" x2="75000" y2="33807"/>
                          <a14:foregroundMark x1="11494" y1="87500" x2="85345" y2="87500"/>
                          <a14:backgroundMark x1="14943" y1="5966" x2="87644" y2="4545"/>
                        </a14:backgroundRemoval>
                      </a14:imgEffect>
                    </a14:imgLayer>
                  </a14:imgProps>
                </a:ext>
                <a:ext uri="{28A0092B-C50C-407E-A947-70E740481C1C}">
                  <a14:useLocalDpi xmlns:a14="http://schemas.microsoft.com/office/drawing/2010/main" val="0"/>
                </a:ext>
              </a:extLst>
            </a:blip>
            <a:srcRect t="12950" r="16667"/>
            <a:stretch/>
          </xdr:blipFill>
          <xdr:spPr>
            <a:xfrm>
              <a:off x="2371725" y="2125205"/>
              <a:ext cx="523875" cy="428626"/>
            </a:xfrm>
            <a:prstGeom prst="rect">
              <a:avLst/>
            </a:prstGeom>
          </xdr:spPr>
        </xdr:pic>
      </xdr:grpSp>
    </xdr:grpSp>
    <xdr:clientData/>
  </xdr:twoCellAnchor>
  <xdr:twoCellAnchor editAs="oneCell">
    <xdr:from>
      <xdr:col>3</xdr:col>
      <xdr:colOff>523875</xdr:colOff>
      <xdr:row>4</xdr:row>
      <xdr:rowOff>0</xdr:rowOff>
    </xdr:from>
    <xdr:to>
      <xdr:col>14</xdr:col>
      <xdr:colOff>485775</xdr:colOff>
      <xdr:row>9</xdr:row>
      <xdr:rowOff>28575</xdr:rowOff>
    </xdr:to>
    <mc:AlternateContent xmlns:mc="http://schemas.openxmlformats.org/markup-compatibility/2006" xmlns:a14="http://schemas.microsoft.com/office/drawing/2010/main">
      <mc:Choice Requires="a14">
        <xdr:graphicFrame macro="">
          <xdr:nvGraphicFramePr>
            <xdr:cNvPr id="70" name="Month 1"/>
            <xdr:cNvGraphicFramePr/>
          </xdr:nvGraphicFramePr>
          <xdr:xfrm>
            <a:off x="0" y="0"/>
            <a:ext cx="0" cy="0"/>
          </xdr:xfrm>
          <a:graphic>
            <a:graphicData uri="http://schemas.microsoft.com/office/drawing/2010/slicer">
              <sle:slicer xmlns:sle="http://schemas.microsoft.com/office/drawing/2010/slicer" name="Month 1"/>
            </a:graphicData>
          </a:graphic>
        </xdr:graphicFrame>
      </mc:Choice>
      <mc:Fallback xmlns="">
        <xdr:sp macro="" textlink="">
          <xdr:nvSpPr>
            <xdr:cNvPr id="0" name=""/>
            <xdr:cNvSpPr>
              <a:spLocks noTextEdit="1"/>
            </xdr:cNvSpPr>
          </xdr:nvSpPr>
          <xdr:spPr>
            <a:xfrm>
              <a:off x="2352675" y="238125"/>
              <a:ext cx="6667500" cy="933450"/>
            </a:xfrm>
            <a:prstGeom prst="rect">
              <a:avLst/>
            </a:prstGeom>
            <a:solidFill>
              <a:prstClr val="white"/>
            </a:solidFill>
            <a:ln w="1">
              <a:solidFill>
                <a:prstClr val="green"/>
              </a:solidFill>
            </a:ln>
          </xdr:spPr>
          <xdr:txBody>
            <a:bodyPr vertOverflow="clip" horzOverflow="clip"/>
            <a:lstStyle/>
            <a:p>
              <a:r>
                <a:rPr lang="en-US" sz="1100"/>
                <a:t>This shape represents a slicer. Slicers can be used in at least Excel 2010.
If the shape was modified in an earlier version of Excel, or if the workbook was saved in Excel 2003 or earlier, the slicer cannot be used.</a:t>
              </a:r>
            </a:p>
          </xdr:txBody>
        </xdr:sp>
      </mc:Fallback>
    </mc:AlternateContent>
    <xdr:clientData/>
  </xdr:twoCellAnchor>
  <xdr:twoCellAnchor editAs="oneCell">
    <xdr:from>
      <xdr:col>14</xdr:col>
      <xdr:colOff>561973</xdr:colOff>
      <xdr:row>3</xdr:row>
      <xdr:rowOff>168088</xdr:rowOff>
    </xdr:from>
    <xdr:to>
      <xdr:col>19</xdr:col>
      <xdr:colOff>347382</xdr:colOff>
      <xdr:row>9</xdr:row>
      <xdr:rowOff>9525</xdr:rowOff>
    </xdr:to>
    <mc:AlternateContent xmlns:mc="http://schemas.openxmlformats.org/markup-compatibility/2006" xmlns:a14="http://schemas.microsoft.com/office/drawing/2010/main">
      <mc:Choice Requires="a14">
        <xdr:graphicFrame macro="">
          <xdr:nvGraphicFramePr>
            <xdr:cNvPr id="71" name="Region 8"/>
            <xdr:cNvGraphicFramePr/>
          </xdr:nvGraphicFramePr>
          <xdr:xfrm>
            <a:off x="0" y="0"/>
            <a:ext cx="0" cy="0"/>
          </xdr:xfrm>
          <a:graphic>
            <a:graphicData uri="http://schemas.microsoft.com/office/drawing/2010/slicer">
              <sle:slicer xmlns:sle="http://schemas.microsoft.com/office/drawing/2010/slicer" name="Region 8"/>
            </a:graphicData>
          </a:graphic>
        </xdr:graphicFrame>
      </mc:Choice>
      <mc:Fallback xmlns="">
        <xdr:sp macro="" textlink="">
          <xdr:nvSpPr>
            <xdr:cNvPr id="0" name=""/>
            <xdr:cNvSpPr>
              <a:spLocks noTextEdit="1"/>
            </xdr:cNvSpPr>
          </xdr:nvSpPr>
          <xdr:spPr>
            <a:xfrm>
              <a:off x="9096374" y="238125"/>
              <a:ext cx="2543176" cy="914400"/>
            </a:xfrm>
            <a:prstGeom prst="rect">
              <a:avLst/>
            </a:prstGeom>
            <a:solidFill>
              <a:prstClr val="white"/>
            </a:solidFill>
            <a:ln w="1">
              <a:solidFill>
                <a:prstClr val="green"/>
              </a:solidFill>
            </a:ln>
          </xdr:spPr>
          <xdr:txBody>
            <a:bodyPr vertOverflow="clip" horzOverflow="clip"/>
            <a:lstStyle/>
            <a:p>
              <a:r>
                <a:rPr lang="en-US" sz="1100"/>
                <a:t>This shape represents a slicer. Slicers can be used in at least Excel 2010.
If the shape was modified in an earlier version of Excel, or if the workbook was saved in Excel 2003 or earlier, the slicer cannot be used.</a:t>
              </a:r>
            </a:p>
          </xdr:txBody>
        </xdr:sp>
      </mc:Fallback>
    </mc:AlternateContent>
    <xdr:clientData/>
  </xdr:twoCellAnchor>
  <xdr:twoCellAnchor>
    <xdr:from>
      <xdr:col>7</xdr:col>
      <xdr:colOff>561975</xdr:colOff>
      <xdr:row>13</xdr:row>
      <xdr:rowOff>115419</xdr:rowOff>
    </xdr:from>
    <xdr:to>
      <xdr:col>12</xdr:col>
      <xdr:colOff>246529</xdr:colOff>
      <xdr:row>17</xdr:row>
      <xdr:rowOff>10644</xdr:rowOff>
    </xdr:to>
    <xdr:grpSp>
      <xdr:nvGrpSpPr>
        <xdr:cNvPr id="8" name="Group 7"/>
        <xdr:cNvGrpSpPr/>
      </xdr:nvGrpSpPr>
      <xdr:grpSpPr>
        <a:xfrm>
          <a:off x="4797799" y="2591919"/>
          <a:ext cx="2710142" cy="657225"/>
          <a:chOff x="4829175" y="2076449"/>
          <a:chExt cx="2266950" cy="657225"/>
        </a:xfrm>
      </xdr:grpSpPr>
      <xdr:sp macro="" textlink="">
        <xdr:nvSpPr>
          <xdr:cNvPr id="31" name="Rectangle 30"/>
          <xdr:cNvSpPr/>
        </xdr:nvSpPr>
        <xdr:spPr>
          <a:xfrm>
            <a:off x="4829175" y="2076449"/>
            <a:ext cx="2266950" cy="657225"/>
          </a:xfrm>
          <a:prstGeom prst="rect">
            <a:avLst/>
          </a:prstGeom>
          <a:solidFill>
            <a:srgbClr val="FFFF0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grpSp>
        <xdr:nvGrpSpPr>
          <xdr:cNvPr id="7" name="Group 6"/>
          <xdr:cNvGrpSpPr/>
        </xdr:nvGrpSpPr>
        <xdr:grpSpPr>
          <a:xfrm>
            <a:off x="5419724" y="2085975"/>
            <a:ext cx="1647825" cy="619125"/>
            <a:chOff x="4657725" y="2066925"/>
            <a:chExt cx="2057400" cy="619125"/>
          </a:xfrm>
        </xdr:grpSpPr>
        <xdr:sp macro="" textlink="">
          <xdr:nvSpPr>
            <xdr:cNvPr id="4" name="Rectangle 3"/>
            <xdr:cNvSpPr/>
          </xdr:nvSpPr>
          <xdr:spPr>
            <a:xfrm>
              <a:off x="4657725" y="2066925"/>
              <a:ext cx="2057400" cy="619125"/>
            </a:xfrm>
            <a:prstGeom prst="rect">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r"/>
              <a:r>
                <a:rPr lang="en-US" sz="1800" b="1">
                  <a:solidFill>
                    <a:schemeClr val="tx1"/>
                  </a:solidFill>
                </a:rPr>
                <a:t>TOTAL</a:t>
              </a:r>
              <a:r>
                <a:rPr lang="en-US" sz="1800" b="1" baseline="0">
                  <a:solidFill>
                    <a:schemeClr val="tx1"/>
                  </a:solidFill>
                </a:rPr>
                <a:t> SALES</a:t>
              </a:r>
              <a:endParaRPr lang="en-US" sz="1800" b="1"/>
            </a:p>
          </xdr:txBody>
        </xdr:sp>
        <xdr:sp macro="" textlink="'PVT. TABLE'!$Y$7">
          <xdr:nvSpPr>
            <xdr:cNvPr id="21" name="Rectangle 20"/>
            <xdr:cNvSpPr/>
          </xdr:nvSpPr>
          <xdr:spPr>
            <a:xfrm>
              <a:off x="5581649" y="2362199"/>
              <a:ext cx="1114425" cy="314325"/>
            </a:xfrm>
            <a:prstGeom prst="rect">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fld id="{4B950D45-9875-4A2E-B977-D45275D19A36}" type="TxLink">
                <a:rPr lang="en-US" sz="1800" b="1">
                  <a:solidFill>
                    <a:sysClr val="windowText" lastClr="000000"/>
                  </a:solidFill>
                </a:rPr>
                <a:pPr algn="l"/>
                <a:t>3449450</a:t>
              </a:fld>
              <a:endParaRPr lang="en-US" sz="1800" b="1">
                <a:solidFill>
                  <a:sysClr val="windowText" lastClr="000000"/>
                </a:solidFill>
              </a:endParaRPr>
            </a:p>
          </xdr:txBody>
        </xdr:sp>
      </xdr:grpSp>
    </xdr:grpSp>
    <xdr:clientData/>
  </xdr:twoCellAnchor>
  <xdr:twoCellAnchor>
    <xdr:from>
      <xdr:col>7</xdr:col>
      <xdr:colOff>584387</xdr:colOff>
      <xdr:row>13</xdr:row>
      <xdr:rowOff>86845</xdr:rowOff>
    </xdr:from>
    <xdr:to>
      <xdr:col>18</xdr:col>
      <xdr:colOff>346262</xdr:colOff>
      <xdr:row>17</xdr:row>
      <xdr:rowOff>10645</xdr:rowOff>
    </xdr:to>
    <xdr:grpSp>
      <xdr:nvGrpSpPr>
        <xdr:cNvPr id="11" name="Group 10"/>
        <xdr:cNvGrpSpPr/>
      </xdr:nvGrpSpPr>
      <xdr:grpSpPr>
        <a:xfrm>
          <a:off x="4820211" y="2563345"/>
          <a:ext cx="6418169" cy="685800"/>
          <a:chOff x="4829175" y="2047875"/>
          <a:chExt cx="6467475" cy="685800"/>
        </a:xfrm>
      </xdr:grpSpPr>
      <xdr:grpSp>
        <xdr:nvGrpSpPr>
          <xdr:cNvPr id="36" name="Group 35"/>
          <xdr:cNvGrpSpPr/>
        </xdr:nvGrpSpPr>
        <xdr:grpSpPr>
          <a:xfrm>
            <a:off x="8620124" y="2047875"/>
            <a:ext cx="2676526" cy="657225"/>
            <a:chOff x="4829175" y="2076449"/>
            <a:chExt cx="2266950" cy="657225"/>
          </a:xfrm>
        </xdr:grpSpPr>
        <xdr:sp macro="" textlink="">
          <xdr:nvSpPr>
            <xdr:cNvPr id="37" name="Rectangle 36"/>
            <xdr:cNvSpPr/>
          </xdr:nvSpPr>
          <xdr:spPr>
            <a:xfrm>
              <a:off x="4829175" y="2076449"/>
              <a:ext cx="2266950" cy="657225"/>
            </a:xfrm>
            <a:prstGeom prst="rect">
              <a:avLst/>
            </a:prstGeom>
            <a:solidFill>
              <a:srgbClr val="FF000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grpSp>
          <xdr:nvGrpSpPr>
            <xdr:cNvPr id="38" name="Group 37"/>
            <xdr:cNvGrpSpPr/>
          </xdr:nvGrpSpPr>
          <xdr:grpSpPr>
            <a:xfrm>
              <a:off x="5419724" y="2085975"/>
              <a:ext cx="1647825" cy="619125"/>
              <a:chOff x="4657725" y="2066925"/>
              <a:chExt cx="2057400" cy="619125"/>
            </a:xfrm>
          </xdr:grpSpPr>
          <xdr:sp macro="" textlink="">
            <xdr:nvSpPr>
              <xdr:cNvPr id="39" name="Rectangle 38"/>
              <xdr:cNvSpPr/>
            </xdr:nvSpPr>
            <xdr:spPr>
              <a:xfrm>
                <a:off x="4657725" y="2066925"/>
                <a:ext cx="2057400" cy="619125"/>
              </a:xfrm>
              <a:prstGeom prst="rect">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600" b="1">
                    <a:solidFill>
                      <a:schemeClr val="tx1"/>
                    </a:solidFill>
                  </a:rPr>
                  <a:t>TOTAL UNITS SOLD</a:t>
                </a:r>
                <a:endParaRPr lang="en-US" sz="1600" b="1"/>
              </a:p>
            </xdr:txBody>
          </xdr:sp>
          <xdr:sp macro="" textlink="'PVT. TABLE'!$Y$12">
            <xdr:nvSpPr>
              <xdr:cNvPr id="40" name="Rectangle 39"/>
              <xdr:cNvSpPr/>
            </xdr:nvSpPr>
            <xdr:spPr>
              <a:xfrm>
                <a:off x="4863865" y="2371724"/>
                <a:ext cx="1617328" cy="314325"/>
              </a:xfrm>
              <a:prstGeom prst="rect">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fld id="{0BA98A18-AAA0-4432-894E-1F106C088BB7}" type="TxLink">
                  <a:rPr lang="en-US" sz="2000" b="1">
                    <a:solidFill>
                      <a:sysClr val="windowText" lastClr="000000"/>
                    </a:solidFill>
                  </a:rPr>
                  <a:pPr algn="ctr"/>
                  <a:t>1634</a:t>
                </a:fld>
                <a:endParaRPr lang="en-US" sz="2000" b="1">
                  <a:solidFill>
                    <a:sysClr val="windowText" lastClr="000000"/>
                  </a:solidFill>
                </a:endParaRPr>
              </a:p>
            </xdr:txBody>
          </xdr:sp>
        </xdr:grpSp>
      </xdr:grpSp>
      <xdr:grpSp>
        <xdr:nvGrpSpPr>
          <xdr:cNvPr id="41" name="Group 40"/>
          <xdr:cNvGrpSpPr/>
        </xdr:nvGrpSpPr>
        <xdr:grpSpPr>
          <a:xfrm>
            <a:off x="4829175" y="2076449"/>
            <a:ext cx="2676526" cy="657225"/>
            <a:chOff x="4829175" y="2076449"/>
            <a:chExt cx="2266950" cy="657225"/>
          </a:xfrm>
        </xdr:grpSpPr>
        <xdr:sp macro="" textlink="">
          <xdr:nvSpPr>
            <xdr:cNvPr id="42" name="Rectangle 41"/>
            <xdr:cNvSpPr/>
          </xdr:nvSpPr>
          <xdr:spPr>
            <a:xfrm>
              <a:off x="4829175" y="2076449"/>
              <a:ext cx="2266950" cy="657225"/>
            </a:xfrm>
            <a:prstGeom prst="rect">
              <a:avLst/>
            </a:prstGeom>
            <a:solidFill>
              <a:srgbClr val="FF0066">
                <a:alpha val="74118"/>
              </a:srgb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grpSp>
          <xdr:nvGrpSpPr>
            <xdr:cNvPr id="43" name="Group 42"/>
            <xdr:cNvGrpSpPr/>
          </xdr:nvGrpSpPr>
          <xdr:grpSpPr>
            <a:xfrm>
              <a:off x="5419724" y="2085975"/>
              <a:ext cx="1647825" cy="619125"/>
              <a:chOff x="4657725" y="2066925"/>
              <a:chExt cx="2057400" cy="619125"/>
            </a:xfrm>
          </xdr:grpSpPr>
          <xdr:sp macro="" textlink="">
            <xdr:nvSpPr>
              <xdr:cNvPr id="44" name="Rectangle 43"/>
              <xdr:cNvSpPr/>
            </xdr:nvSpPr>
            <xdr:spPr>
              <a:xfrm>
                <a:off x="4657725" y="2066925"/>
                <a:ext cx="2057400" cy="619125"/>
              </a:xfrm>
              <a:prstGeom prst="rect">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600" b="1">
                    <a:solidFill>
                      <a:schemeClr val="tx1"/>
                    </a:solidFill>
                  </a:rPr>
                  <a:t>TOTAL SALES</a:t>
                </a:r>
                <a:endParaRPr lang="en-US" sz="1600" b="1"/>
              </a:p>
            </xdr:txBody>
          </xdr:sp>
          <xdr:sp macro="" textlink="'PVT. TABLE'!$Y$7">
            <xdr:nvSpPr>
              <xdr:cNvPr id="45" name="Rectangle 44"/>
              <xdr:cNvSpPr/>
            </xdr:nvSpPr>
            <xdr:spPr>
              <a:xfrm>
                <a:off x="4890725" y="2371724"/>
                <a:ext cx="1617328" cy="314325"/>
              </a:xfrm>
              <a:prstGeom prst="rect">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fld id="{565CD57C-048E-4BC3-90DD-A81AA45EC024}" type="TxLink">
                  <a:rPr lang="en-US" sz="2000" b="1">
                    <a:solidFill>
                      <a:sysClr val="windowText" lastClr="000000"/>
                    </a:solidFill>
                  </a:rPr>
                  <a:pPr algn="ctr"/>
                  <a:t>3449450</a:t>
                </a:fld>
                <a:endParaRPr lang="en-US" sz="2000" b="1">
                  <a:solidFill>
                    <a:sysClr val="windowText" lastClr="000000"/>
                  </a:solidFill>
                </a:endParaRPr>
              </a:p>
            </xdr:txBody>
          </xdr:sp>
        </xdr:grpSp>
      </xdr:grpSp>
      <xdr:pic>
        <xdr:nvPicPr>
          <xdr:cNvPr id="9" name="Picture 8"/>
          <xdr:cNvPicPr>
            <a:picLocks noChangeAspect="1"/>
          </xdr:cNvPicPr>
        </xdr:nvPicPr>
        <xdr:blipFill>
          <a:blip xmlns:r="http://schemas.openxmlformats.org/officeDocument/2006/relationships" r:embed="rId10">
            <a:extLst>
              <a:ext uri="{BEBA8EAE-BF5A-486C-A8C5-ECC9F3942E4B}">
                <a14:imgProps xmlns:a14="http://schemas.microsoft.com/office/drawing/2010/main">
                  <a14:imgLayer r:embed="rId11">
                    <a14:imgEffect>
                      <a14:backgroundRemoval t="10000" b="90000" l="10000" r="90000">
                        <a14:foregroundMark x1="38857" y1="28286" x2="52286" y2="28286"/>
                        <a14:foregroundMark x1="54571" y1="27143" x2="46571" y2="47429"/>
                        <a14:foregroundMark x1="43429" y1="58000" x2="43429" y2="58000"/>
                        <a14:foregroundMark x1="53429" y1="72286" x2="53429" y2="72286"/>
                        <a14:foregroundMark x1="53429" y1="30857" x2="53429" y2="30857"/>
                      </a14:backgroundRemoval>
                    </a14:imgEffect>
                  </a14:imgLayer>
                </a14:imgProps>
              </a:ext>
            </a:extLst>
          </a:blip>
          <a:stretch>
            <a:fillRect/>
          </a:stretch>
        </xdr:blipFill>
        <xdr:spPr>
          <a:xfrm>
            <a:off x="4848227" y="2095500"/>
            <a:ext cx="679386" cy="638175"/>
          </a:xfrm>
          <a:prstGeom prst="rect">
            <a:avLst/>
          </a:prstGeom>
        </xdr:spPr>
      </xdr:pic>
      <xdr:pic>
        <xdr:nvPicPr>
          <xdr:cNvPr id="10" name="Picture 9"/>
          <xdr:cNvPicPr>
            <a:picLocks noChangeAspect="1"/>
          </xdr:cNvPicPr>
        </xdr:nvPicPr>
        <xdr:blipFill>
          <a:blip xmlns:r="http://schemas.openxmlformats.org/officeDocument/2006/relationships" r:embed="rId12">
            <a:extLst>
              <a:ext uri="{BEBA8EAE-BF5A-486C-A8C5-ECC9F3942E4B}">
                <a14:imgProps xmlns:a14="http://schemas.microsoft.com/office/drawing/2010/main">
                  <a14:imgLayer r:embed="rId13">
                    <a14:imgEffect>
                      <a14:backgroundRemoval t="1351" b="98649" l="0" r="97906">
                        <a14:foregroundMark x1="6806" y1="49324" x2="88482" y2="47297"/>
                        <a14:backgroundMark x1="64921" y1="7432" x2="89005" y2="36486"/>
                        <a14:backgroundMark x1="63874" y1="5405" x2="87435" y2="5405"/>
                        <a14:backgroundMark x1="89005" y1="35811" x2="91623" y2="2027"/>
                        <a14:backgroundMark x1="6806" y1="33108" x2="36126" y2="12162"/>
                        <a14:backgroundMark x1="6283" y1="30405" x2="6283" y2="0"/>
                        <a14:backgroundMark x1="35079" y1="9459" x2="524" y2="7432"/>
                        <a14:backgroundMark x1="31937" y1="37838" x2="65445" y2="38514"/>
                        <a14:backgroundMark x1="33508" y1="36486" x2="57592" y2="31081"/>
                        <a14:backgroundMark x1="63351" y1="38514" x2="57068" y2="27703"/>
                      </a14:backgroundRemoval>
                    </a14:imgEffect>
                  </a14:imgLayer>
                </a14:imgProps>
              </a:ext>
            </a:extLst>
          </a:blip>
          <a:stretch>
            <a:fillRect/>
          </a:stretch>
        </xdr:blipFill>
        <xdr:spPr>
          <a:xfrm>
            <a:off x="8620125" y="2085975"/>
            <a:ext cx="666750" cy="571500"/>
          </a:xfrm>
          <a:prstGeom prst="rect">
            <a:avLst/>
          </a:prstGeom>
          <a:solidFill>
            <a:srgbClr val="FF0066"/>
          </a:solidFill>
        </xdr:spPr>
      </xdr:pic>
    </xdr:grpSp>
    <xdr:clientData/>
  </xdr:twoCellAnchor>
  <xdr:twoCellAnchor>
    <xdr:from>
      <xdr:col>0</xdr:col>
      <xdr:colOff>25400</xdr:colOff>
      <xdr:row>0</xdr:row>
      <xdr:rowOff>0</xdr:rowOff>
    </xdr:from>
    <xdr:to>
      <xdr:col>19</xdr:col>
      <xdr:colOff>520700</xdr:colOff>
      <xdr:row>3</xdr:row>
      <xdr:rowOff>12700</xdr:rowOff>
    </xdr:to>
    <xdr:sp macro="" textlink="">
      <xdr:nvSpPr>
        <xdr:cNvPr id="46" name="Rectangle 45"/>
        <xdr:cNvSpPr/>
      </xdr:nvSpPr>
      <xdr:spPr>
        <a:xfrm>
          <a:off x="25400" y="165100"/>
          <a:ext cx="12077700" cy="609600"/>
        </a:xfrm>
        <a:prstGeom prst="rect">
          <a:avLst/>
        </a:prstGeom>
        <a:solidFill>
          <a:srgbClr val="FF0066">
            <a:alpha val="78039"/>
          </a:srgb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marR="0" indent="0" algn="ctr" defTabSz="914400" rtl="0" eaLnBrk="1" fontAlgn="auto" latinLnBrk="0" hangingPunct="1">
            <a:lnSpc>
              <a:spcPct val="100000"/>
            </a:lnSpc>
            <a:spcBef>
              <a:spcPts val="0"/>
            </a:spcBef>
            <a:spcAft>
              <a:spcPts val="0"/>
            </a:spcAft>
            <a:buClrTx/>
            <a:buSzTx/>
            <a:buFontTx/>
            <a:buNone/>
            <a:tabLst/>
            <a:defRPr/>
          </a:pPr>
          <a:r>
            <a:rPr lang="en-US" sz="3200">
              <a:solidFill>
                <a:schemeClr val="lt1"/>
              </a:solidFill>
              <a:latin typeface="Arial Black" pitchFamily="34" charset="0"/>
              <a:ea typeface="+mn-ea"/>
              <a:cs typeface="+mn-cs"/>
            </a:rPr>
            <a:t>Sales</a:t>
          </a:r>
          <a:r>
            <a:rPr lang="en-US" sz="3200"/>
            <a:t> </a:t>
          </a:r>
          <a:r>
            <a:rPr lang="en-US" sz="3200">
              <a:solidFill>
                <a:schemeClr val="lt1"/>
              </a:solidFill>
              <a:latin typeface="Arial Black" pitchFamily="34" charset="0"/>
              <a:ea typeface="+mn-ea"/>
              <a:cs typeface="+mn-cs"/>
            </a:rPr>
            <a:t>Performance</a:t>
          </a:r>
          <a:r>
            <a:rPr lang="en-US" sz="3200"/>
            <a:t> </a:t>
          </a:r>
          <a:r>
            <a:rPr lang="en-US" sz="3200">
              <a:solidFill>
                <a:schemeClr val="lt1"/>
              </a:solidFill>
              <a:latin typeface="Arial Black" pitchFamily="34" charset="0"/>
              <a:ea typeface="+mn-ea"/>
              <a:cs typeface="+mn-cs"/>
            </a:rPr>
            <a:t>Overview</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3</xdr:row>
      <xdr:rowOff>100852</xdr:rowOff>
    </xdr:from>
    <xdr:to>
      <xdr:col>19</xdr:col>
      <xdr:colOff>514352</xdr:colOff>
      <xdr:row>29</xdr:row>
      <xdr:rowOff>129427</xdr:rowOff>
    </xdr:to>
    <xdr:sp macro="" textlink="">
      <xdr:nvSpPr>
        <xdr:cNvPr id="3" name="Rectangle 2"/>
        <xdr:cNvSpPr/>
      </xdr:nvSpPr>
      <xdr:spPr>
        <a:xfrm>
          <a:off x="0" y="672352"/>
          <a:ext cx="12011587" cy="4981575"/>
        </a:xfrm>
        <a:prstGeom prst="rect">
          <a:avLst/>
        </a:prstGeom>
        <a:solidFill>
          <a:srgbClr val="FF0066">
            <a:alpha val="78039"/>
          </a:srgb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3</xdr:col>
      <xdr:colOff>289600</xdr:colOff>
      <xdr:row>3</xdr:row>
      <xdr:rowOff>168089</xdr:rowOff>
    </xdr:from>
    <xdr:to>
      <xdr:col>19</xdr:col>
      <xdr:colOff>471761</xdr:colOff>
      <xdr:row>29</xdr:row>
      <xdr:rowOff>134470</xdr:rowOff>
    </xdr:to>
    <xdr:sp macro="" textlink="">
      <xdr:nvSpPr>
        <xdr:cNvPr id="5" name="Rounded Rectangle 3"/>
        <xdr:cNvSpPr/>
      </xdr:nvSpPr>
      <xdr:spPr>
        <a:xfrm>
          <a:off x="2104953" y="739589"/>
          <a:ext cx="9864043" cy="4919381"/>
        </a:xfrm>
        <a:custGeom>
          <a:avLst/>
          <a:gdLst>
            <a:gd name="connsiteX0" fmla="*/ 0 w 8391527"/>
            <a:gd name="connsiteY0" fmla="*/ 703276 h 4219574"/>
            <a:gd name="connsiteX1" fmla="*/ 703276 w 8391527"/>
            <a:gd name="connsiteY1" fmla="*/ 0 h 4219574"/>
            <a:gd name="connsiteX2" fmla="*/ 7688251 w 8391527"/>
            <a:gd name="connsiteY2" fmla="*/ 0 h 4219574"/>
            <a:gd name="connsiteX3" fmla="*/ 8391527 w 8391527"/>
            <a:gd name="connsiteY3" fmla="*/ 703276 h 4219574"/>
            <a:gd name="connsiteX4" fmla="*/ 8391527 w 8391527"/>
            <a:gd name="connsiteY4" fmla="*/ 3516298 h 4219574"/>
            <a:gd name="connsiteX5" fmla="*/ 7688251 w 8391527"/>
            <a:gd name="connsiteY5" fmla="*/ 4219574 h 4219574"/>
            <a:gd name="connsiteX6" fmla="*/ 703276 w 8391527"/>
            <a:gd name="connsiteY6" fmla="*/ 4219574 h 4219574"/>
            <a:gd name="connsiteX7" fmla="*/ 0 w 8391527"/>
            <a:gd name="connsiteY7" fmla="*/ 3516298 h 4219574"/>
            <a:gd name="connsiteX8" fmla="*/ 0 w 8391527"/>
            <a:gd name="connsiteY8" fmla="*/ 703276 h 4219574"/>
            <a:gd name="connsiteX0" fmla="*/ 0 w 8391527"/>
            <a:gd name="connsiteY0" fmla="*/ 703276 h 4219574"/>
            <a:gd name="connsiteX1" fmla="*/ 703276 w 8391527"/>
            <a:gd name="connsiteY1" fmla="*/ 0 h 4219574"/>
            <a:gd name="connsiteX2" fmla="*/ 7688251 w 8391527"/>
            <a:gd name="connsiteY2" fmla="*/ 0 h 4219574"/>
            <a:gd name="connsiteX3" fmla="*/ 8391527 w 8391527"/>
            <a:gd name="connsiteY3" fmla="*/ 703276 h 4219574"/>
            <a:gd name="connsiteX4" fmla="*/ 8391527 w 8391527"/>
            <a:gd name="connsiteY4" fmla="*/ 3516298 h 4219574"/>
            <a:gd name="connsiteX5" fmla="*/ 7688251 w 8391527"/>
            <a:gd name="connsiteY5" fmla="*/ 4219574 h 4219574"/>
            <a:gd name="connsiteX6" fmla="*/ 703276 w 8391527"/>
            <a:gd name="connsiteY6" fmla="*/ 4219574 h 4219574"/>
            <a:gd name="connsiteX7" fmla="*/ 9525 w 8391527"/>
            <a:gd name="connsiteY7" fmla="*/ 3802048 h 4219574"/>
            <a:gd name="connsiteX8" fmla="*/ 0 w 8391527"/>
            <a:gd name="connsiteY8" fmla="*/ 703276 h 4219574"/>
            <a:gd name="connsiteX0" fmla="*/ 9651 w 8382002"/>
            <a:gd name="connsiteY0" fmla="*/ 408001 h 4219574"/>
            <a:gd name="connsiteX1" fmla="*/ 693751 w 8382002"/>
            <a:gd name="connsiteY1" fmla="*/ 0 h 4219574"/>
            <a:gd name="connsiteX2" fmla="*/ 7678726 w 8382002"/>
            <a:gd name="connsiteY2" fmla="*/ 0 h 4219574"/>
            <a:gd name="connsiteX3" fmla="*/ 8382002 w 8382002"/>
            <a:gd name="connsiteY3" fmla="*/ 703276 h 4219574"/>
            <a:gd name="connsiteX4" fmla="*/ 8382002 w 8382002"/>
            <a:gd name="connsiteY4" fmla="*/ 3516298 h 4219574"/>
            <a:gd name="connsiteX5" fmla="*/ 7678726 w 8382002"/>
            <a:gd name="connsiteY5" fmla="*/ 4219574 h 4219574"/>
            <a:gd name="connsiteX6" fmla="*/ 693751 w 8382002"/>
            <a:gd name="connsiteY6" fmla="*/ 4219574 h 4219574"/>
            <a:gd name="connsiteX7" fmla="*/ 0 w 8382002"/>
            <a:gd name="connsiteY7" fmla="*/ 3802048 h 4219574"/>
            <a:gd name="connsiteX8" fmla="*/ 9651 w 8382002"/>
            <a:gd name="connsiteY8" fmla="*/ 408001 h 4219574"/>
            <a:gd name="connsiteX0" fmla="*/ 9651 w 8386283"/>
            <a:gd name="connsiteY0" fmla="*/ 408001 h 4219574"/>
            <a:gd name="connsiteX1" fmla="*/ 693751 w 8386283"/>
            <a:gd name="connsiteY1" fmla="*/ 0 h 4219574"/>
            <a:gd name="connsiteX2" fmla="*/ 8059811 w 8386283"/>
            <a:gd name="connsiteY2" fmla="*/ 9612 h 4219574"/>
            <a:gd name="connsiteX3" fmla="*/ 8382002 w 8386283"/>
            <a:gd name="connsiteY3" fmla="*/ 703276 h 4219574"/>
            <a:gd name="connsiteX4" fmla="*/ 8382002 w 8386283"/>
            <a:gd name="connsiteY4" fmla="*/ 3516298 h 4219574"/>
            <a:gd name="connsiteX5" fmla="*/ 7678726 w 8386283"/>
            <a:gd name="connsiteY5" fmla="*/ 4219574 h 4219574"/>
            <a:gd name="connsiteX6" fmla="*/ 693751 w 8386283"/>
            <a:gd name="connsiteY6" fmla="*/ 4219574 h 4219574"/>
            <a:gd name="connsiteX7" fmla="*/ 0 w 8386283"/>
            <a:gd name="connsiteY7" fmla="*/ 3802048 h 4219574"/>
            <a:gd name="connsiteX8" fmla="*/ 9651 w 8386283"/>
            <a:gd name="connsiteY8" fmla="*/ 408001 h 4219574"/>
            <a:gd name="connsiteX0" fmla="*/ 9651 w 8386283"/>
            <a:gd name="connsiteY0" fmla="*/ 408001 h 4219574"/>
            <a:gd name="connsiteX1" fmla="*/ 693751 w 8386283"/>
            <a:gd name="connsiteY1" fmla="*/ 0 h 4219574"/>
            <a:gd name="connsiteX2" fmla="*/ 8059811 w 8386283"/>
            <a:gd name="connsiteY2" fmla="*/ 9612 h 4219574"/>
            <a:gd name="connsiteX3" fmla="*/ 8382002 w 8386283"/>
            <a:gd name="connsiteY3" fmla="*/ 703276 h 4219574"/>
            <a:gd name="connsiteX4" fmla="*/ 8382002 w 8386283"/>
            <a:gd name="connsiteY4" fmla="*/ 3516298 h 4219574"/>
            <a:gd name="connsiteX5" fmla="*/ 8012175 w 8386283"/>
            <a:gd name="connsiteY5" fmla="*/ 4209962 h 4219574"/>
            <a:gd name="connsiteX6" fmla="*/ 693751 w 8386283"/>
            <a:gd name="connsiteY6" fmla="*/ 4219574 h 4219574"/>
            <a:gd name="connsiteX7" fmla="*/ 0 w 8386283"/>
            <a:gd name="connsiteY7" fmla="*/ 3802048 h 4219574"/>
            <a:gd name="connsiteX8" fmla="*/ 9651 w 8386283"/>
            <a:gd name="connsiteY8" fmla="*/ 408001 h 4219574"/>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Lst>
          <a:rect l="l" t="t" r="r" b="b"/>
          <a:pathLst>
            <a:path w="8386283" h="4219574">
              <a:moveTo>
                <a:pt x="9651" y="408001"/>
              </a:moveTo>
              <a:cubicBezTo>
                <a:pt x="9651" y="19592"/>
                <a:pt x="305342" y="0"/>
                <a:pt x="693751" y="0"/>
              </a:cubicBezTo>
              <a:lnTo>
                <a:pt x="8059811" y="9612"/>
              </a:lnTo>
              <a:cubicBezTo>
                <a:pt x="8448220" y="9612"/>
                <a:pt x="8382002" y="314867"/>
                <a:pt x="8382002" y="703276"/>
              </a:cubicBezTo>
              <a:lnTo>
                <a:pt x="8382002" y="3516298"/>
              </a:lnTo>
              <a:cubicBezTo>
                <a:pt x="8382002" y="3904707"/>
                <a:pt x="8400584" y="4209962"/>
                <a:pt x="8012175" y="4209962"/>
              </a:cubicBezTo>
              <a:lnTo>
                <a:pt x="693751" y="4219574"/>
              </a:lnTo>
              <a:cubicBezTo>
                <a:pt x="305342" y="4219574"/>
                <a:pt x="0" y="4190457"/>
                <a:pt x="0" y="3802048"/>
              </a:cubicBezTo>
              <a:cubicBezTo>
                <a:pt x="0" y="2864374"/>
                <a:pt x="9651" y="1345675"/>
                <a:pt x="9651" y="408001"/>
              </a:cubicBezTo>
              <a:close/>
            </a:path>
          </a:pathLst>
        </a:custGeom>
        <a:solidFill>
          <a:schemeClr val="accent6">
            <a:lumMod val="20000"/>
            <a:lumOff val="8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504381</xdr:colOff>
      <xdr:row>8</xdr:row>
      <xdr:rowOff>107069</xdr:rowOff>
    </xdr:from>
    <xdr:to>
      <xdr:col>3</xdr:col>
      <xdr:colOff>25651</xdr:colOff>
      <xdr:row>11</xdr:row>
      <xdr:rowOff>30968</xdr:rowOff>
    </xdr:to>
    <xdr:sp macro="" textlink="">
      <xdr:nvSpPr>
        <xdr:cNvPr id="6" name="Rounded Rectangle 5">
          <a:hlinkClick xmlns:r="http://schemas.openxmlformats.org/officeDocument/2006/relationships" r:id="rId1"/>
        </xdr:cNvPr>
        <xdr:cNvSpPr/>
      </xdr:nvSpPr>
      <xdr:spPr>
        <a:xfrm>
          <a:off x="504381" y="1631069"/>
          <a:ext cx="1336623" cy="495399"/>
        </a:xfrm>
        <a:prstGeom prst="roundRect">
          <a:avLst/>
        </a:prstGeom>
        <a:solidFill>
          <a:schemeClr val="accent6">
            <a:lumMod val="60000"/>
            <a:lumOff val="4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b="1">
              <a:solidFill>
                <a:sysClr val="windowText" lastClr="000000"/>
              </a:solidFill>
              <a:latin typeface="Arial Black" pitchFamily="34" charset="0"/>
            </a:rPr>
            <a:t>DASHBOARD</a:t>
          </a:r>
          <a:endParaRPr lang="en-US" sz="800" b="1">
            <a:solidFill>
              <a:sysClr val="windowText" lastClr="000000"/>
            </a:solidFill>
            <a:latin typeface="Arial Black" pitchFamily="34" charset="0"/>
          </a:endParaRPr>
        </a:p>
      </xdr:txBody>
    </xdr:sp>
    <xdr:clientData/>
  </xdr:twoCellAnchor>
  <xdr:twoCellAnchor>
    <xdr:from>
      <xdr:col>0</xdr:col>
      <xdr:colOff>470755</xdr:colOff>
      <xdr:row>13</xdr:row>
      <xdr:rowOff>39405</xdr:rowOff>
    </xdr:from>
    <xdr:to>
      <xdr:col>2</xdr:col>
      <xdr:colOff>598290</xdr:colOff>
      <xdr:row>15</xdr:row>
      <xdr:rowOff>157934</xdr:rowOff>
    </xdr:to>
    <xdr:sp macro="" textlink="">
      <xdr:nvSpPr>
        <xdr:cNvPr id="7" name="Rounded Rectangle 6">
          <a:hlinkClick xmlns:r="http://schemas.openxmlformats.org/officeDocument/2006/relationships" r:id="rId2"/>
        </xdr:cNvPr>
        <xdr:cNvSpPr/>
      </xdr:nvSpPr>
      <xdr:spPr>
        <a:xfrm>
          <a:off x="470755" y="2515905"/>
          <a:ext cx="1337770" cy="499529"/>
        </a:xfrm>
        <a:prstGeom prst="roundRect">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b="1">
              <a:solidFill>
                <a:srgbClr val="FF0066"/>
              </a:solidFill>
              <a:latin typeface="Arial Black" pitchFamily="34" charset="0"/>
              <a:ea typeface="+mn-ea"/>
              <a:cs typeface="+mn-cs"/>
            </a:rPr>
            <a:t>PRODUCT</a:t>
          </a:r>
        </a:p>
      </xdr:txBody>
    </xdr:sp>
    <xdr:clientData/>
  </xdr:twoCellAnchor>
  <xdr:twoCellAnchor>
    <xdr:from>
      <xdr:col>0</xdr:col>
      <xdr:colOff>448338</xdr:colOff>
      <xdr:row>17</xdr:row>
      <xdr:rowOff>140664</xdr:rowOff>
    </xdr:from>
    <xdr:to>
      <xdr:col>2</xdr:col>
      <xdr:colOff>575873</xdr:colOff>
      <xdr:row>20</xdr:row>
      <xdr:rowOff>64032</xdr:rowOff>
    </xdr:to>
    <xdr:sp macro="" textlink="">
      <xdr:nvSpPr>
        <xdr:cNvPr id="8" name="Rounded Rectangle 7">
          <a:hlinkClick xmlns:r="http://schemas.openxmlformats.org/officeDocument/2006/relationships" r:id="rId3"/>
        </xdr:cNvPr>
        <xdr:cNvSpPr/>
      </xdr:nvSpPr>
      <xdr:spPr>
        <a:xfrm>
          <a:off x="448338" y="3379164"/>
          <a:ext cx="1337770" cy="494868"/>
        </a:xfrm>
        <a:prstGeom prst="roundRect">
          <a:avLst/>
        </a:prstGeom>
        <a:solidFill>
          <a:schemeClr val="accent6">
            <a:lumMod val="60000"/>
            <a:lumOff val="4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050" b="1">
              <a:solidFill>
                <a:schemeClr val="tx1"/>
              </a:solidFill>
              <a:latin typeface="Arial Black" pitchFamily="34" charset="0"/>
              <a:ea typeface="+mn-ea"/>
              <a:cs typeface="+mn-cs"/>
            </a:rPr>
            <a:t>SALESPERSON</a:t>
          </a:r>
          <a:endParaRPr lang="en-US" sz="900" b="1">
            <a:solidFill>
              <a:schemeClr val="tx1"/>
            </a:solidFill>
            <a:latin typeface="Arial Black" pitchFamily="34" charset="0"/>
            <a:ea typeface="+mn-ea"/>
            <a:cs typeface="+mn-cs"/>
          </a:endParaRPr>
        </a:p>
      </xdr:txBody>
    </xdr:sp>
    <xdr:clientData/>
  </xdr:twoCellAnchor>
  <xdr:twoCellAnchor>
    <xdr:from>
      <xdr:col>0</xdr:col>
      <xdr:colOff>459547</xdr:colOff>
      <xdr:row>22</xdr:row>
      <xdr:rowOff>171362</xdr:rowOff>
    </xdr:from>
    <xdr:to>
      <xdr:col>2</xdr:col>
      <xdr:colOff>587082</xdr:colOff>
      <xdr:row>25</xdr:row>
      <xdr:rowOff>99391</xdr:rowOff>
    </xdr:to>
    <xdr:sp macro="" textlink="">
      <xdr:nvSpPr>
        <xdr:cNvPr id="9" name="Rounded Rectangle 8">
          <a:hlinkClick xmlns:r="http://schemas.openxmlformats.org/officeDocument/2006/relationships" r:id="rId4"/>
        </xdr:cNvPr>
        <xdr:cNvSpPr/>
      </xdr:nvSpPr>
      <xdr:spPr>
        <a:xfrm>
          <a:off x="459547" y="3409862"/>
          <a:ext cx="1346735" cy="499529"/>
        </a:xfrm>
        <a:prstGeom prst="roundRect">
          <a:avLst/>
        </a:prstGeom>
        <a:solidFill>
          <a:schemeClr val="accent6">
            <a:lumMod val="60000"/>
            <a:lumOff val="4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b="1">
              <a:solidFill>
                <a:schemeClr val="tx1"/>
              </a:solidFill>
              <a:latin typeface="Arial Black" pitchFamily="34" charset="0"/>
              <a:ea typeface="+mn-ea"/>
              <a:cs typeface="+mn-cs"/>
            </a:rPr>
            <a:t>CONCLUSION</a:t>
          </a:r>
          <a:endParaRPr lang="en-US" sz="900" b="1">
            <a:solidFill>
              <a:schemeClr val="tx1"/>
            </a:solidFill>
            <a:latin typeface="Arial Black" pitchFamily="34" charset="0"/>
            <a:ea typeface="+mn-ea"/>
            <a:cs typeface="+mn-cs"/>
          </a:endParaRPr>
        </a:p>
      </xdr:txBody>
    </xdr:sp>
    <xdr:clientData/>
  </xdr:twoCellAnchor>
  <xdr:twoCellAnchor>
    <xdr:from>
      <xdr:col>3</xdr:col>
      <xdr:colOff>494666</xdr:colOff>
      <xdr:row>10</xdr:row>
      <xdr:rowOff>30256</xdr:rowOff>
    </xdr:from>
    <xdr:to>
      <xdr:col>19</xdr:col>
      <xdr:colOff>336175</xdr:colOff>
      <xdr:row>14</xdr:row>
      <xdr:rowOff>141728</xdr:rowOff>
    </xdr:to>
    <mc:AlternateContent xmlns:mc="http://schemas.openxmlformats.org/markup-compatibility/2006" xmlns:a14="http://schemas.microsoft.com/office/drawing/2010/main">
      <mc:Choice Requires="a14">
        <xdr:graphicFrame macro="">
          <xdr:nvGraphicFramePr>
            <xdr:cNvPr id="16" name="Product 9"/>
            <xdr:cNvGraphicFramePr/>
          </xdr:nvGraphicFramePr>
          <xdr:xfrm>
            <a:off x="0" y="0"/>
            <a:ext cx="0" cy="0"/>
          </xdr:xfrm>
          <a:graphic>
            <a:graphicData uri="http://schemas.microsoft.com/office/drawing/2010/slicer">
              <sle:slicer xmlns:sle="http://schemas.microsoft.com/office/drawing/2010/slicer" name="Product 9"/>
            </a:graphicData>
          </a:graphic>
        </xdr:graphicFrame>
      </mc:Choice>
      <mc:Fallback xmlns="">
        <xdr:sp macro="" textlink="">
          <xdr:nvSpPr>
            <xdr:cNvPr id="0" name=""/>
            <xdr:cNvSpPr>
              <a:spLocks noTextEdit="1"/>
            </xdr:cNvSpPr>
          </xdr:nvSpPr>
          <xdr:spPr>
            <a:xfrm>
              <a:off x="2310019" y="1935256"/>
              <a:ext cx="9523391" cy="873472"/>
            </a:xfrm>
            <a:prstGeom prst="rect">
              <a:avLst/>
            </a:prstGeom>
            <a:solidFill>
              <a:prstClr val="white"/>
            </a:solidFill>
            <a:ln w="1">
              <a:solidFill>
                <a:prstClr val="green"/>
              </a:solidFill>
            </a:ln>
          </xdr:spPr>
          <xdr:txBody>
            <a:bodyPr vertOverflow="clip" horzOverflow="clip"/>
            <a:lstStyle/>
            <a:p>
              <a:r>
                <a:rPr lang="en-US" sz="1100"/>
                <a:t>This shape represents a slicer. Slicers can be used in at least Excel 2010.
If the shape was modified in an earlier version of Excel, or if the workbook was saved in Excel 2003 or earlier, the slicer cannot be used.</a:t>
              </a:r>
            </a:p>
          </xdr:txBody>
        </xdr:sp>
      </mc:Fallback>
    </mc:AlternateContent>
    <xdr:clientData/>
  </xdr:twoCellAnchor>
  <xdr:twoCellAnchor>
    <xdr:from>
      <xdr:col>3</xdr:col>
      <xdr:colOff>480100</xdr:colOff>
      <xdr:row>4</xdr:row>
      <xdr:rowOff>123825</xdr:rowOff>
    </xdr:from>
    <xdr:to>
      <xdr:col>15</xdr:col>
      <xdr:colOff>33617</xdr:colOff>
      <xdr:row>9</xdr:row>
      <xdr:rowOff>100852</xdr:rowOff>
    </xdr:to>
    <mc:AlternateContent xmlns:mc="http://schemas.openxmlformats.org/markup-compatibility/2006" xmlns:a14="http://schemas.microsoft.com/office/drawing/2010/main">
      <mc:Choice Requires="a14">
        <xdr:graphicFrame macro="">
          <xdr:nvGraphicFramePr>
            <xdr:cNvPr id="17" name="Month 4"/>
            <xdr:cNvGraphicFramePr/>
          </xdr:nvGraphicFramePr>
          <xdr:xfrm>
            <a:off x="0" y="0"/>
            <a:ext cx="0" cy="0"/>
          </xdr:xfrm>
          <a:graphic>
            <a:graphicData uri="http://schemas.microsoft.com/office/drawing/2010/slicer">
              <sle:slicer xmlns:sle="http://schemas.microsoft.com/office/drawing/2010/slicer" name="Month 4"/>
            </a:graphicData>
          </a:graphic>
        </xdr:graphicFrame>
      </mc:Choice>
      <mc:Fallback xmlns="">
        <xdr:sp macro="" textlink="">
          <xdr:nvSpPr>
            <xdr:cNvPr id="0" name=""/>
            <xdr:cNvSpPr>
              <a:spLocks noTextEdit="1"/>
            </xdr:cNvSpPr>
          </xdr:nvSpPr>
          <xdr:spPr>
            <a:xfrm>
              <a:off x="2308900" y="123826"/>
              <a:ext cx="6753225" cy="933450"/>
            </a:xfrm>
            <a:prstGeom prst="rect">
              <a:avLst/>
            </a:prstGeom>
            <a:solidFill>
              <a:prstClr val="white"/>
            </a:solidFill>
            <a:ln w="1">
              <a:solidFill>
                <a:prstClr val="green"/>
              </a:solidFill>
            </a:ln>
          </xdr:spPr>
          <xdr:txBody>
            <a:bodyPr vertOverflow="clip" horzOverflow="clip"/>
            <a:lstStyle/>
            <a:p>
              <a:r>
                <a:rPr lang="en-US" sz="1100"/>
                <a:t>This shape represents a slicer. Slicers can be used in at least Excel 2010.
If the shape was modified in an earlier version of Excel, or if the workbook was saved in Excel 2003 or earlier, the slicer cannot be used.</a:t>
              </a:r>
            </a:p>
          </xdr:txBody>
        </xdr:sp>
      </mc:Fallback>
    </mc:AlternateContent>
    <xdr:clientData/>
  </xdr:twoCellAnchor>
  <xdr:twoCellAnchor>
    <xdr:from>
      <xdr:col>15</xdr:col>
      <xdr:colOff>168088</xdr:colOff>
      <xdr:row>4</xdr:row>
      <xdr:rowOff>114301</xdr:rowOff>
    </xdr:from>
    <xdr:to>
      <xdr:col>19</xdr:col>
      <xdr:colOff>291352</xdr:colOff>
      <xdr:row>9</xdr:row>
      <xdr:rowOff>123265</xdr:rowOff>
    </xdr:to>
    <mc:AlternateContent xmlns:mc="http://schemas.openxmlformats.org/markup-compatibility/2006" xmlns:a14="http://schemas.microsoft.com/office/drawing/2010/main">
      <mc:Choice Requires="a14">
        <xdr:graphicFrame macro="">
          <xdr:nvGraphicFramePr>
            <xdr:cNvPr id="18" name="Region 9"/>
            <xdr:cNvGraphicFramePr/>
          </xdr:nvGraphicFramePr>
          <xdr:xfrm>
            <a:off x="0" y="0"/>
            <a:ext cx="0" cy="0"/>
          </xdr:xfrm>
          <a:graphic>
            <a:graphicData uri="http://schemas.microsoft.com/office/drawing/2010/slicer">
              <sle:slicer xmlns:sle="http://schemas.microsoft.com/office/drawing/2010/slicer" name="Region 9"/>
            </a:graphicData>
          </a:graphic>
        </xdr:graphicFrame>
      </mc:Choice>
      <mc:Fallback xmlns="">
        <xdr:sp macro="" textlink="">
          <xdr:nvSpPr>
            <xdr:cNvPr id="0" name=""/>
            <xdr:cNvSpPr>
              <a:spLocks noTextEdit="1"/>
            </xdr:cNvSpPr>
          </xdr:nvSpPr>
          <xdr:spPr>
            <a:xfrm>
              <a:off x="9119276" y="114301"/>
              <a:ext cx="2438400" cy="942975"/>
            </a:xfrm>
            <a:prstGeom prst="rect">
              <a:avLst/>
            </a:prstGeom>
            <a:solidFill>
              <a:prstClr val="white"/>
            </a:solidFill>
            <a:ln w="1">
              <a:solidFill>
                <a:prstClr val="green"/>
              </a:solidFill>
            </a:ln>
          </xdr:spPr>
          <xdr:txBody>
            <a:bodyPr vertOverflow="clip" horzOverflow="clip"/>
            <a:lstStyle/>
            <a:p>
              <a:r>
                <a:rPr lang="en-US" sz="1100"/>
                <a:t>This shape represents a slicer. Slicers can be used in at least Excel 2010.
If the shape was modified in an earlier version of Excel, or if the workbook was saved in Excel 2003 or earlier, the slicer cannot be used.</a:t>
              </a:r>
            </a:p>
          </xdr:txBody>
        </xdr:sp>
      </mc:Fallback>
    </mc:AlternateContent>
    <xdr:clientData/>
  </xdr:twoCellAnchor>
  <xdr:twoCellAnchor>
    <xdr:from>
      <xdr:col>4</xdr:col>
      <xdr:colOff>342900</xdr:colOff>
      <xdr:row>15</xdr:row>
      <xdr:rowOff>177051</xdr:rowOff>
    </xdr:from>
    <xdr:to>
      <xdr:col>6</xdr:col>
      <xdr:colOff>571500</xdr:colOff>
      <xdr:row>17</xdr:row>
      <xdr:rowOff>154438</xdr:rowOff>
    </xdr:to>
    <xdr:sp macro="" textlink="">
      <xdr:nvSpPr>
        <xdr:cNvPr id="21" name="Rounded Rectangle 20"/>
        <xdr:cNvSpPr/>
      </xdr:nvSpPr>
      <xdr:spPr>
        <a:xfrm>
          <a:off x="2763371" y="3034551"/>
          <a:ext cx="1438835" cy="358387"/>
        </a:xfrm>
        <a:prstGeom prst="roundRect">
          <a:avLst/>
        </a:prstGeom>
        <a:solidFill>
          <a:schemeClr val="accent6">
            <a:lumMod val="20000"/>
            <a:lumOff val="8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algn="r"/>
          <a:r>
            <a:rPr lang="en-US" sz="1400" b="1">
              <a:solidFill>
                <a:sysClr val="windowText" lastClr="000000"/>
              </a:solidFill>
              <a:latin typeface="Arial Black" pitchFamily="34" charset="0"/>
            </a:rPr>
            <a:t>ANALYTICS</a:t>
          </a:r>
          <a:endParaRPr lang="en-US" sz="1000" b="1">
            <a:solidFill>
              <a:sysClr val="windowText" lastClr="000000"/>
            </a:solidFill>
            <a:latin typeface="Arial Black" pitchFamily="34" charset="0"/>
          </a:endParaRPr>
        </a:p>
      </xdr:txBody>
    </xdr:sp>
    <xdr:clientData/>
  </xdr:twoCellAnchor>
  <xdr:twoCellAnchor>
    <xdr:from>
      <xdr:col>3</xdr:col>
      <xdr:colOff>419100</xdr:colOff>
      <xdr:row>15</xdr:row>
      <xdr:rowOff>119902</xdr:rowOff>
    </xdr:from>
    <xdr:to>
      <xdr:col>4</xdr:col>
      <xdr:colOff>333375</xdr:colOff>
      <xdr:row>17</xdr:row>
      <xdr:rowOff>167528</xdr:rowOff>
    </xdr:to>
    <xdr:pic>
      <xdr:nvPicPr>
        <xdr:cNvPr id="22" name="Picture 21"/>
        <xdr:cNvPicPr>
          <a:picLocks noChangeAspect="1"/>
        </xdr:cNvPicPr>
      </xdr:nvPicPr>
      <xdr:blipFill rotWithShape="1">
        <a:blip xmlns:r="http://schemas.openxmlformats.org/officeDocument/2006/relationships" r:embed="rId5" cstate="print">
          <a:extLst>
            <a:ext uri="{BEBA8EAE-BF5A-486C-A8C5-ECC9F3942E4B}">
              <a14:imgProps xmlns:a14="http://schemas.microsoft.com/office/drawing/2010/main">
                <a14:imgLayer r:embed="rId6">
                  <a14:imgEffect>
                    <a14:backgroundRemoval t="10000" b="90000" l="10000" r="90000">
                      <a14:foregroundMark x1="14080" y1="84375" x2="13506" y2="55966"/>
                      <a14:foregroundMark x1="13506" y1="55398" x2="26437" y2="55682"/>
                      <a14:foregroundMark x1="30460" y1="42614" x2="43391" y2="41761"/>
                      <a14:foregroundMark x1="63793" y1="34091" x2="75000" y2="33807"/>
                      <a14:foregroundMark x1="11494" y1="87500" x2="85345" y2="87500"/>
                      <a14:backgroundMark x1="14943" y1="5966" x2="87644" y2="4545"/>
                    </a14:backgroundRemoval>
                  </a14:imgEffect>
                </a14:imgLayer>
              </a14:imgProps>
            </a:ext>
            <a:ext uri="{28A0092B-C50C-407E-A947-70E740481C1C}">
              <a14:useLocalDpi xmlns:a14="http://schemas.microsoft.com/office/drawing/2010/main" val="0"/>
            </a:ext>
          </a:extLst>
        </a:blip>
        <a:srcRect t="12950" r="16667"/>
        <a:stretch/>
      </xdr:blipFill>
      <xdr:spPr>
        <a:xfrm>
          <a:off x="2234453" y="2977402"/>
          <a:ext cx="519393" cy="428626"/>
        </a:xfrm>
        <a:prstGeom prst="rect">
          <a:avLst/>
        </a:prstGeom>
      </xdr:spPr>
    </xdr:pic>
    <xdr:clientData/>
  </xdr:twoCellAnchor>
  <xdr:twoCellAnchor>
    <xdr:from>
      <xdr:col>3</xdr:col>
      <xdr:colOff>413425</xdr:colOff>
      <xdr:row>18</xdr:row>
      <xdr:rowOff>33618</xdr:rowOff>
    </xdr:from>
    <xdr:to>
      <xdr:col>9</xdr:col>
      <xdr:colOff>9524</xdr:colOff>
      <xdr:row>28</xdr:row>
      <xdr:rowOff>85725</xdr:rowOff>
    </xdr:to>
    <xdr:graphicFrame macro="">
      <xdr:nvGraphicFramePr>
        <xdr:cNvPr id="28" name="Chart 27"/>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9</xdr:col>
      <xdr:colOff>165100</xdr:colOff>
      <xdr:row>18</xdr:row>
      <xdr:rowOff>44824</xdr:rowOff>
    </xdr:from>
    <xdr:to>
      <xdr:col>14</xdr:col>
      <xdr:colOff>254000</xdr:colOff>
      <xdr:row>28</xdr:row>
      <xdr:rowOff>76200</xdr:rowOff>
    </xdr:to>
    <xdr:graphicFrame macro="">
      <xdr:nvGraphicFramePr>
        <xdr:cNvPr id="19" name="Chart 18"/>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14</xdr:col>
      <xdr:colOff>406400</xdr:colOff>
      <xdr:row>18</xdr:row>
      <xdr:rowOff>44824</xdr:rowOff>
    </xdr:from>
    <xdr:to>
      <xdr:col>19</xdr:col>
      <xdr:colOff>257736</xdr:colOff>
      <xdr:row>28</xdr:row>
      <xdr:rowOff>101600</xdr:rowOff>
    </xdr:to>
    <xdr:graphicFrame macro="">
      <xdr:nvGraphicFramePr>
        <xdr:cNvPr id="20" name="Chart 19"/>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25400</xdr:colOff>
      <xdr:row>0</xdr:row>
      <xdr:rowOff>31376</xdr:rowOff>
    </xdr:from>
    <xdr:to>
      <xdr:col>19</xdr:col>
      <xdr:colOff>533400</xdr:colOff>
      <xdr:row>3</xdr:row>
      <xdr:rowOff>69476</xdr:rowOff>
    </xdr:to>
    <xdr:sp macro="" textlink="">
      <xdr:nvSpPr>
        <xdr:cNvPr id="2" name="Rectangle 1"/>
        <xdr:cNvSpPr/>
      </xdr:nvSpPr>
      <xdr:spPr>
        <a:xfrm>
          <a:off x="25400" y="221876"/>
          <a:ext cx="12005235" cy="609600"/>
        </a:xfrm>
        <a:prstGeom prst="rect">
          <a:avLst/>
        </a:prstGeom>
        <a:solidFill>
          <a:srgbClr val="FF0066">
            <a:alpha val="78039"/>
          </a:srgb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marR="0" indent="0" algn="ctr" defTabSz="914400" rtl="0" eaLnBrk="1" fontAlgn="auto" latinLnBrk="0" hangingPunct="1">
            <a:lnSpc>
              <a:spcPct val="100000"/>
            </a:lnSpc>
            <a:spcBef>
              <a:spcPts val="0"/>
            </a:spcBef>
            <a:spcAft>
              <a:spcPts val="0"/>
            </a:spcAft>
            <a:buClrTx/>
            <a:buSzTx/>
            <a:buFontTx/>
            <a:buNone/>
            <a:tabLst/>
            <a:defRPr/>
          </a:pPr>
          <a:r>
            <a:rPr lang="en-US" sz="3200">
              <a:solidFill>
                <a:schemeClr val="lt1"/>
              </a:solidFill>
              <a:latin typeface="Arial Black" pitchFamily="34" charset="0"/>
              <a:ea typeface="+mn-ea"/>
              <a:cs typeface="+mn-cs"/>
            </a:rPr>
            <a:t>Product Sales Performance</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3</xdr:row>
      <xdr:rowOff>100852</xdr:rowOff>
    </xdr:from>
    <xdr:to>
      <xdr:col>19</xdr:col>
      <xdr:colOff>533400</xdr:colOff>
      <xdr:row>28</xdr:row>
      <xdr:rowOff>186122</xdr:rowOff>
    </xdr:to>
    <xdr:grpSp>
      <xdr:nvGrpSpPr>
        <xdr:cNvPr id="3" name="Group 2"/>
        <xdr:cNvGrpSpPr/>
      </xdr:nvGrpSpPr>
      <xdr:grpSpPr>
        <a:xfrm>
          <a:off x="0" y="672352"/>
          <a:ext cx="12030635" cy="4847770"/>
          <a:chOff x="0" y="-56030"/>
          <a:chExt cx="12115800" cy="4847770"/>
        </a:xfrm>
      </xdr:grpSpPr>
      <xdr:grpSp>
        <xdr:nvGrpSpPr>
          <xdr:cNvPr id="25" name="Group 24"/>
          <xdr:cNvGrpSpPr/>
        </xdr:nvGrpSpPr>
        <xdr:grpSpPr>
          <a:xfrm>
            <a:off x="0" y="-56030"/>
            <a:ext cx="12115800" cy="4847770"/>
            <a:chOff x="0" y="-56030"/>
            <a:chExt cx="12115800" cy="4847770"/>
          </a:xfrm>
        </xdr:grpSpPr>
        <xdr:grpSp>
          <xdr:nvGrpSpPr>
            <xdr:cNvPr id="4" name="Group 3"/>
            <xdr:cNvGrpSpPr/>
          </xdr:nvGrpSpPr>
          <xdr:grpSpPr>
            <a:xfrm>
              <a:off x="0" y="-56030"/>
              <a:ext cx="12115800" cy="4847770"/>
              <a:chOff x="200026" y="389270"/>
              <a:chExt cx="10252046" cy="4229100"/>
            </a:xfrm>
          </xdr:grpSpPr>
          <xdr:sp macro="" textlink="">
            <xdr:nvSpPr>
              <xdr:cNvPr id="8" name="Rounded Rectangle 7"/>
              <xdr:cNvSpPr/>
            </xdr:nvSpPr>
            <xdr:spPr>
              <a:xfrm>
                <a:off x="200026" y="389270"/>
                <a:ext cx="10252046" cy="4229100"/>
              </a:xfrm>
              <a:prstGeom prst="rect">
                <a:avLst/>
              </a:prstGeom>
              <a:solidFill>
                <a:srgbClr val="FF0066">
                  <a:alpha val="78039"/>
                </a:srgb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9" name="Rounded Rectangle 3"/>
              <xdr:cNvSpPr/>
            </xdr:nvSpPr>
            <xdr:spPr>
              <a:xfrm>
                <a:off x="1990699" y="428376"/>
                <a:ext cx="8448707" cy="4164485"/>
              </a:xfrm>
              <a:custGeom>
                <a:avLst/>
                <a:gdLst>
                  <a:gd name="connsiteX0" fmla="*/ 0 w 9903236"/>
                  <a:gd name="connsiteY0" fmla="*/ 806158 h 4836851"/>
                  <a:gd name="connsiteX1" fmla="*/ 806158 w 9903236"/>
                  <a:gd name="connsiteY1" fmla="*/ 0 h 4836851"/>
                  <a:gd name="connsiteX2" fmla="*/ 9097078 w 9903236"/>
                  <a:gd name="connsiteY2" fmla="*/ 0 h 4836851"/>
                  <a:gd name="connsiteX3" fmla="*/ 9903236 w 9903236"/>
                  <a:gd name="connsiteY3" fmla="*/ 806158 h 4836851"/>
                  <a:gd name="connsiteX4" fmla="*/ 9903236 w 9903236"/>
                  <a:gd name="connsiteY4" fmla="*/ 4030693 h 4836851"/>
                  <a:gd name="connsiteX5" fmla="*/ 9097078 w 9903236"/>
                  <a:gd name="connsiteY5" fmla="*/ 4836851 h 4836851"/>
                  <a:gd name="connsiteX6" fmla="*/ 806158 w 9903236"/>
                  <a:gd name="connsiteY6" fmla="*/ 4836851 h 4836851"/>
                  <a:gd name="connsiteX7" fmla="*/ 0 w 9903236"/>
                  <a:gd name="connsiteY7" fmla="*/ 4030693 h 4836851"/>
                  <a:gd name="connsiteX8" fmla="*/ 0 w 9903236"/>
                  <a:gd name="connsiteY8" fmla="*/ 806158 h 4836851"/>
                  <a:gd name="connsiteX0" fmla="*/ 0 w 9903236"/>
                  <a:gd name="connsiteY0" fmla="*/ 481187 h 4836851"/>
                  <a:gd name="connsiteX1" fmla="*/ 806158 w 9903236"/>
                  <a:gd name="connsiteY1" fmla="*/ 0 h 4836851"/>
                  <a:gd name="connsiteX2" fmla="*/ 9097078 w 9903236"/>
                  <a:gd name="connsiteY2" fmla="*/ 0 h 4836851"/>
                  <a:gd name="connsiteX3" fmla="*/ 9903236 w 9903236"/>
                  <a:gd name="connsiteY3" fmla="*/ 806158 h 4836851"/>
                  <a:gd name="connsiteX4" fmla="*/ 9903236 w 9903236"/>
                  <a:gd name="connsiteY4" fmla="*/ 4030693 h 4836851"/>
                  <a:gd name="connsiteX5" fmla="*/ 9097078 w 9903236"/>
                  <a:gd name="connsiteY5" fmla="*/ 4836851 h 4836851"/>
                  <a:gd name="connsiteX6" fmla="*/ 806158 w 9903236"/>
                  <a:gd name="connsiteY6" fmla="*/ 4836851 h 4836851"/>
                  <a:gd name="connsiteX7" fmla="*/ 0 w 9903236"/>
                  <a:gd name="connsiteY7" fmla="*/ 4030693 h 4836851"/>
                  <a:gd name="connsiteX8" fmla="*/ 0 w 9903236"/>
                  <a:gd name="connsiteY8" fmla="*/ 481187 h 4836851"/>
                  <a:gd name="connsiteX0" fmla="*/ 0 w 9903236"/>
                  <a:gd name="connsiteY0" fmla="*/ 481187 h 4836851"/>
                  <a:gd name="connsiteX1" fmla="*/ 806158 w 9903236"/>
                  <a:gd name="connsiteY1" fmla="*/ 0 h 4836851"/>
                  <a:gd name="connsiteX2" fmla="*/ 9444461 w 9903236"/>
                  <a:gd name="connsiteY2" fmla="*/ 33618 h 4836851"/>
                  <a:gd name="connsiteX3" fmla="*/ 9903236 w 9903236"/>
                  <a:gd name="connsiteY3" fmla="*/ 806158 h 4836851"/>
                  <a:gd name="connsiteX4" fmla="*/ 9903236 w 9903236"/>
                  <a:gd name="connsiteY4" fmla="*/ 4030693 h 4836851"/>
                  <a:gd name="connsiteX5" fmla="*/ 9097078 w 9903236"/>
                  <a:gd name="connsiteY5" fmla="*/ 4836851 h 4836851"/>
                  <a:gd name="connsiteX6" fmla="*/ 806158 w 9903236"/>
                  <a:gd name="connsiteY6" fmla="*/ 4836851 h 4836851"/>
                  <a:gd name="connsiteX7" fmla="*/ 0 w 9903236"/>
                  <a:gd name="connsiteY7" fmla="*/ 4030693 h 4836851"/>
                  <a:gd name="connsiteX8" fmla="*/ 0 w 9903236"/>
                  <a:gd name="connsiteY8" fmla="*/ 481187 h 4836851"/>
                  <a:gd name="connsiteX0" fmla="*/ 11206 w 9914442"/>
                  <a:gd name="connsiteY0" fmla="*/ 481187 h 4836864"/>
                  <a:gd name="connsiteX1" fmla="*/ 817364 w 9914442"/>
                  <a:gd name="connsiteY1" fmla="*/ 0 h 4836864"/>
                  <a:gd name="connsiteX2" fmla="*/ 9455667 w 9914442"/>
                  <a:gd name="connsiteY2" fmla="*/ 33618 h 4836864"/>
                  <a:gd name="connsiteX3" fmla="*/ 9914442 w 9914442"/>
                  <a:gd name="connsiteY3" fmla="*/ 806158 h 4836864"/>
                  <a:gd name="connsiteX4" fmla="*/ 9914442 w 9914442"/>
                  <a:gd name="connsiteY4" fmla="*/ 4030693 h 4836864"/>
                  <a:gd name="connsiteX5" fmla="*/ 9108284 w 9914442"/>
                  <a:gd name="connsiteY5" fmla="*/ 4836851 h 4836864"/>
                  <a:gd name="connsiteX6" fmla="*/ 817364 w 9914442"/>
                  <a:gd name="connsiteY6" fmla="*/ 4836851 h 4836864"/>
                  <a:gd name="connsiteX7" fmla="*/ 0 w 9914442"/>
                  <a:gd name="connsiteY7" fmla="*/ 4400487 h 4836864"/>
                  <a:gd name="connsiteX8" fmla="*/ 11206 w 9914442"/>
                  <a:gd name="connsiteY8" fmla="*/ 481187 h 4836864"/>
                  <a:gd name="connsiteX0" fmla="*/ 11206 w 9914442"/>
                  <a:gd name="connsiteY0" fmla="*/ 481187 h 4836864"/>
                  <a:gd name="connsiteX1" fmla="*/ 817364 w 9914442"/>
                  <a:gd name="connsiteY1" fmla="*/ 0 h 4836864"/>
                  <a:gd name="connsiteX2" fmla="*/ 9455667 w 9914442"/>
                  <a:gd name="connsiteY2" fmla="*/ 33618 h 4836864"/>
                  <a:gd name="connsiteX3" fmla="*/ 9914442 w 9914442"/>
                  <a:gd name="connsiteY3" fmla="*/ 806158 h 4836864"/>
                  <a:gd name="connsiteX4" fmla="*/ 9914442 w 9914442"/>
                  <a:gd name="connsiteY4" fmla="*/ 4030693 h 4836864"/>
                  <a:gd name="connsiteX5" fmla="*/ 9466873 w 9914442"/>
                  <a:gd name="connsiteY5" fmla="*/ 4836851 h 4836864"/>
                  <a:gd name="connsiteX6" fmla="*/ 817364 w 9914442"/>
                  <a:gd name="connsiteY6" fmla="*/ 4836851 h 4836864"/>
                  <a:gd name="connsiteX7" fmla="*/ 0 w 9914442"/>
                  <a:gd name="connsiteY7" fmla="*/ 4400487 h 4836864"/>
                  <a:gd name="connsiteX8" fmla="*/ 11206 w 9914442"/>
                  <a:gd name="connsiteY8" fmla="*/ 481187 h 4836864"/>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Lst>
                <a:rect l="l" t="t" r="r" b="b"/>
                <a:pathLst>
                  <a:path w="9914442" h="4836864">
                    <a:moveTo>
                      <a:pt x="11206" y="481187"/>
                    </a:moveTo>
                    <a:cubicBezTo>
                      <a:pt x="11206" y="35958"/>
                      <a:pt x="372135" y="0"/>
                      <a:pt x="817364" y="0"/>
                    </a:cubicBezTo>
                    <a:lnTo>
                      <a:pt x="9455667" y="33618"/>
                    </a:lnTo>
                    <a:cubicBezTo>
                      <a:pt x="9900896" y="33618"/>
                      <a:pt x="9914442" y="360929"/>
                      <a:pt x="9914442" y="806158"/>
                    </a:cubicBezTo>
                    <a:lnTo>
                      <a:pt x="9914442" y="4030693"/>
                    </a:lnTo>
                    <a:cubicBezTo>
                      <a:pt x="9914442" y="4475922"/>
                      <a:pt x="9912102" y="4836851"/>
                      <a:pt x="9466873" y="4836851"/>
                    </a:cubicBezTo>
                    <a:lnTo>
                      <a:pt x="817364" y="4836851"/>
                    </a:lnTo>
                    <a:cubicBezTo>
                      <a:pt x="372135" y="4836851"/>
                      <a:pt x="0" y="4845716"/>
                      <a:pt x="0" y="4400487"/>
                    </a:cubicBezTo>
                    <a:cubicBezTo>
                      <a:pt x="3735" y="3094054"/>
                      <a:pt x="7471" y="1787620"/>
                      <a:pt x="11206" y="481187"/>
                    </a:cubicBezTo>
                    <a:close/>
                  </a:path>
                </a:pathLst>
              </a:custGeom>
              <a:solidFill>
                <a:schemeClr val="accent6">
                  <a:lumMod val="20000"/>
                  <a:lumOff val="8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0" name="Rounded Rectangle 9">
                <a:hlinkClick xmlns:r="http://schemas.openxmlformats.org/officeDocument/2006/relationships" r:id="rId1"/>
              </xdr:cNvPr>
              <xdr:cNvSpPr/>
            </xdr:nvSpPr>
            <xdr:spPr>
              <a:xfrm>
                <a:off x="628650" y="1066800"/>
                <a:ext cx="1147293" cy="437291"/>
              </a:xfrm>
              <a:prstGeom prst="rect">
                <a:avLst/>
              </a:prstGeom>
              <a:solidFill>
                <a:schemeClr val="accent6">
                  <a:lumMod val="60000"/>
                  <a:lumOff val="4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200" b="1">
                    <a:solidFill>
                      <a:schemeClr val="tx1"/>
                    </a:solidFill>
                    <a:latin typeface="Arial Black" pitchFamily="34" charset="0"/>
                  </a:rPr>
                  <a:t>DASHBOARD</a:t>
                </a:r>
              </a:p>
            </xdr:txBody>
          </xdr:sp>
          <xdr:sp macro="" textlink="">
            <xdr:nvSpPr>
              <xdr:cNvPr id="11" name="Rounded Rectangle 10">
                <a:hlinkClick xmlns:r="http://schemas.openxmlformats.org/officeDocument/2006/relationships" r:id="rId2"/>
              </xdr:cNvPr>
              <xdr:cNvSpPr/>
            </xdr:nvSpPr>
            <xdr:spPr>
              <a:xfrm>
                <a:off x="600075" y="1847848"/>
                <a:ext cx="1144459" cy="440936"/>
              </a:xfrm>
              <a:prstGeom prst="rect">
                <a:avLst/>
              </a:prstGeom>
              <a:solidFill>
                <a:schemeClr val="accent6">
                  <a:lumMod val="60000"/>
                  <a:lumOff val="4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200" b="1">
                    <a:solidFill>
                      <a:schemeClr val="tx1"/>
                    </a:solidFill>
                    <a:latin typeface="Arial Black" pitchFamily="34" charset="0"/>
                    <a:ea typeface="+mn-ea"/>
                    <a:cs typeface="+mn-cs"/>
                  </a:rPr>
                  <a:t>PRODUCT</a:t>
                </a:r>
              </a:p>
            </xdr:txBody>
          </xdr:sp>
          <xdr:sp macro="" textlink="">
            <xdr:nvSpPr>
              <xdr:cNvPr id="12" name="Rounded Rectangle 11">
                <a:hlinkClick xmlns:r="http://schemas.openxmlformats.org/officeDocument/2006/relationships" r:id="rId3"/>
              </xdr:cNvPr>
              <xdr:cNvSpPr/>
            </xdr:nvSpPr>
            <xdr:spPr>
              <a:xfrm>
                <a:off x="581025" y="2609850"/>
                <a:ext cx="1144459" cy="436822"/>
              </a:xfrm>
              <a:prstGeom prst="rect">
                <a:avLst/>
              </a:prstGeom>
              <a:solidFill>
                <a:sysClr val="window" lastClr="FFFFF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050" b="1">
                    <a:solidFill>
                      <a:srgbClr val="FF0066"/>
                    </a:solidFill>
                    <a:latin typeface="Arial Black" pitchFamily="34" charset="0"/>
                    <a:ea typeface="+mn-ea"/>
                    <a:cs typeface="+mn-cs"/>
                  </a:rPr>
                  <a:t>SALESPERSON</a:t>
                </a:r>
                <a:endParaRPr lang="en-US" sz="900" b="1">
                  <a:solidFill>
                    <a:srgbClr val="FF0066"/>
                  </a:solidFill>
                  <a:latin typeface="Arial Black" pitchFamily="34" charset="0"/>
                  <a:ea typeface="+mn-ea"/>
                  <a:cs typeface="+mn-cs"/>
                </a:endParaRPr>
              </a:p>
            </xdr:txBody>
          </xdr:sp>
          <xdr:sp macro="" textlink="">
            <xdr:nvSpPr>
              <xdr:cNvPr id="13" name="Rounded Rectangle 12">
                <a:hlinkClick xmlns:r="http://schemas.openxmlformats.org/officeDocument/2006/relationships" r:id="rId4"/>
              </xdr:cNvPr>
              <xdr:cNvSpPr/>
            </xdr:nvSpPr>
            <xdr:spPr>
              <a:xfrm>
                <a:off x="590550" y="3448048"/>
                <a:ext cx="1144459" cy="440936"/>
              </a:xfrm>
              <a:prstGeom prst="rect">
                <a:avLst/>
              </a:prstGeom>
              <a:solidFill>
                <a:schemeClr val="accent6">
                  <a:lumMod val="60000"/>
                  <a:lumOff val="4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b="1">
                    <a:solidFill>
                      <a:schemeClr val="tx1"/>
                    </a:solidFill>
                    <a:latin typeface="Arial Black" pitchFamily="34" charset="0"/>
                    <a:ea typeface="+mn-ea"/>
                    <a:cs typeface="+mn-cs"/>
                  </a:rPr>
                  <a:t>CONCLUSION</a:t>
                </a:r>
                <a:endParaRPr lang="en-US" sz="900" b="1">
                  <a:solidFill>
                    <a:schemeClr val="tx1"/>
                  </a:solidFill>
                  <a:latin typeface="Arial Black" pitchFamily="34" charset="0"/>
                  <a:ea typeface="+mn-ea"/>
                  <a:cs typeface="+mn-cs"/>
                </a:endParaRPr>
              </a:p>
            </xdr:txBody>
          </xdr:sp>
          <mc:AlternateContent xmlns:mc="http://schemas.openxmlformats.org/markup-compatibility/2006" xmlns:a14="http://schemas.microsoft.com/office/drawing/2010/main">
            <mc:Choice Requires="a14">
              <xdr:graphicFrame macro="">
                <xdr:nvGraphicFramePr>
                  <xdr:cNvPr id="16" name="Product 7"/>
                  <xdr:cNvGraphicFramePr/>
                </xdr:nvGraphicFramePr>
                <xdr:xfrm>
                  <a:off x="2126314" y="1533526"/>
                  <a:ext cx="8081299" cy="615388"/>
                </xdr:xfrm>
                <a:graphic>
                  <a:graphicData uri="http://schemas.microsoft.com/office/drawing/2010/slicer">
                    <sle:slicer xmlns:sle="http://schemas.microsoft.com/office/drawing/2010/slicer" name="Product 7"/>
                  </a:graphicData>
                </a:graphic>
              </xdr:graphicFrame>
            </mc:Choice>
            <mc:Fallback xmlns="">
              <xdr:sp macro="" textlink="">
                <xdr:nvSpPr>
                  <xdr:cNvPr id="0" name=""/>
                  <xdr:cNvSpPr>
                    <a:spLocks noTextEdit="1"/>
                  </xdr:cNvSpPr>
                </xdr:nvSpPr>
                <xdr:spPr>
                  <a:xfrm>
                    <a:off x="2260472" y="1984000"/>
                    <a:ext cx="9252307" cy="873472"/>
                  </a:xfrm>
                  <a:prstGeom prst="rect">
                    <a:avLst/>
                  </a:prstGeom>
                  <a:solidFill>
                    <a:prstClr val="white"/>
                  </a:solidFill>
                  <a:ln w="1">
                    <a:solidFill>
                      <a:prstClr val="green"/>
                    </a:solidFill>
                  </a:ln>
                </xdr:spPr>
                <xdr:txBody>
                  <a:bodyPr vertOverflow="clip" horzOverflow="clip"/>
                  <a:lstStyle/>
                  <a:p>
                    <a:r>
                      <a:rPr lang="en-US" sz="1100"/>
                      <a:t>This shape represents a slicer. Slicers can be used in at least Excel 2010.
If the shape was modified in an earlier version of Excel, or if the workbook was saved in Excel 2003 or earlier, the slicer cannot be used.</a:t>
                    </a:r>
                  </a:p>
                </xdr:txBody>
              </xdr:sp>
            </mc:Fallback>
          </mc:AlternateContent>
        </xdr:grpSp>
        <xdr:graphicFrame macro="">
          <xdr:nvGraphicFramePr>
            <xdr:cNvPr id="18" name="Chart 17"/>
            <xdr:cNvGraphicFramePr>
              <a:graphicFrameLocks/>
            </xdr:cNvGraphicFramePr>
          </xdr:nvGraphicFramePr>
          <xdr:xfrm>
            <a:off x="2324099" y="2689412"/>
            <a:ext cx="3442642" cy="1968313"/>
          </xdr:xfrm>
          <a:graphic>
            <a:graphicData uri="http://schemas.openxmlformats.org/drawingml/2006/chart">
              <c:chart xmlns:c="http://schemas.openxmlformats.org/drawingml/2006/chart" xmlns:r="http://schemas.openxmlformats.org/officeDocument/2006/relationships" r:id="rId5"/>
            </a:graphicData>
          </a:graphic>
        </xdr:graphicFrame>
        <xdr:graphicFrame macro="">
          <xdr:nvGraphicFramePr>
            <xdr:cNvPr id="19" name="Chart 18"/>
            <xdr:cNvGraphicFramePr>
              <a:graphicFrameLocks/>
            </xdr:cNvGraphicFramePr>
          </xdr:nvGraphicFramePr>
          <xdr:xfrm>
            <a:off x="5890879" y="2700618"/>
            <a:ext cx="2968009" cy="1976157"/>
          </xdr:xfrm>
          <a:graphic>
            <a:graphicData uri="http://schemas.openxmlformats.org/drawingml/2006/chart">
              <c:chart xmlns:c="http://schemas.openxmlformats.org/drawingml/2006/chart" xmlns:r="http://schemas.openxmlformats.org/officeDocument/2006/relationships" r:id="rId6"/>
            </a:graphicData>
          </a:graphic>
        </xdr:graphicFrame>
        <xdr:grpSp>
          <xdr:nvGrpSpPr>
            <xdr:cNvPr id="20" name="Group 19"/>
            <xdr:cNvGrpSpPr/>
          </xdr:nvGrpSpPr>
          <xdr:grpSpPr>
            <a:xfrm>
              <a:off x="2286000" y="2196352"/>
              <a:ext cx="1924050" cy="463161"/>
              <a:chOff x="2371725" y="2148727"/>
              <a:chExt cx="1924050" cy="463161"/>
            </a:xfrm>
          </xdr:grpSpPr>
          <xdr:sp macro="" textlink="">
            <xdr:nvSpPr>
              <xdr:cNvPr id="21" name="Rounded Rectangle 20"/>
              <xdr:cNvSpPr/>
            </xdr:nvSpPr>
            <xdr:spPr>
              <a:xfrm>
                <a:off x="2847975" y="2253501"/>
                <a:ext cx="1447800" cy="358387"/>
              </a:xfrm>
              <a:prstGeom prst="rect">
                <a:avLst/>
              </a:prstGeom>
              <a:solidFill>
                <a:schemeClr val="accent6">
                  <a:lumMod val="20000"/>
                  <a:lumOff val="8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algn="r"/>
                <a:r>
                  <a:rPr lang="en-US" sz="1400" b="1">
                    <a:solidFill>
                      <a:sysClr val="windowText" lastClr="000000"/>
                    </a:solidFill>
                    <a:latin typeface="Arial Black" pitchFamily="34" charset="0"/>
                  </a:rPr>
                  <a:t>ANALYTICS</a:t>
                </a:r>
                <a:endParaRPr lang="en-US" sz="1000" b="1">
                  <a:solidFill>
                    <a:sysClr val="windowText" lastClr="000000"/>
                  </a:solidFill>
                  <a:latin typeface="Arial Black" pitchFamily="34" charset="0"/>
                </a:endParaRPr>
              </a:p>
            </xdr:txBody>
          </xdr:sp>
          <xdr:pic>
            <xdr:nvPicPr>
              <xdr:cNvPr id="22" name="Picture 21"/>
              <xdr:cNvPicPr>
                <a:picLocks noChangeAspect="1"/>
              </xdr:cNvPicPr>
            </xdr:nvPicPr>
            <xdr:blipFill rotWithShape="1">
              <a:blip xmlns:r="http://schemas.openxmlformats.org/officeDocument/2006/relationships" r:embed="rId7" cstate="print">
                <a:extLst>
                  <a:ext uri="{BEBA8EAE-BF5A-486C-A8C5-ECC9F3942E4B}">
                    <a14:imgProps xmlns:a14="http://schemas.microsoft.com/office/drawing/2010/main">
                      <a14:imgLayer r:embed="rId8">
                        <a14:imgEffect>
                          <a14:backgroundRemoval t="10000" b="90000" l="10000" r="90000">
                            <a14:foregroundMark x1="14080" y1="84375" x2="13506" y2="55966"/>
                            <a14:foregroundMark x1="13506" y1="55398" x2="26437" y2="55682"/>
                            <a14:foregroundMark x1="30460" y1="42614" x2="43391" y2="41761"/>
                            <a14:foregroundMark x1="63793" y1="34091" x2="75000" y2="33807"/>
                            <a14:foregroundMark x1="11494" y1="87500" x2="85345" y2="87500"/>
                            <a14:backgroundMark x1="14943" y1="5966" x2="87644" y2="4545"/>
                          </a14:backgroundRemoval>
                        </a14:imgEffect>
                      </a14:imgLayer>
                    </a14:imgProps>
                  </a:ext>
                  <a:ext uri="{28A0092B-C50C-407E-A947-70E740481C1C}">
                    <a14:useLocalDpi xmlns:a14="http://schemas.microsoft.com/office/drawing/2010/main" val="0"/>
                  </a:ext>
                </a:extLst>
              </a:blip>
              <a:srcRect t="12950" r="16667"/>
              <a:stretch/>
            </xdr:blipFill>
            <xdr:spPr>
              <a:xfrm>
                <a:off x="2371725" y="2148727"/>
                <a:ext cx="523875" cy="428626"/>
              </a:xfrm>
              <a:prstGeom prst="rect">
                <a:avLst/>
              </a:prstGeom>
            </xdr:spPr>
          </xdr:pic>
        </xdr:grpSp>
        <xdr:graphicFrame macro="">
          <xdr:nvGraphicFramePr>
            <xdr:cNvPr id="23" name="Chart 22"/>
            <xdr:cNvGraphicFramePr>
              <a:graphicFrameLocks/>
            </xdr:cNvGraphicFramePr>
          </xdr:nvGraphicFramePr>
          <xdr:xfrm>
            <a:off x="8926600" y="2689412"/>
            <a:ext cx="2968010" cy="1966633"/>
          </xdr:xfrm>
          <a:graphic>
            <a:graphicData uri="http://schemas.openxmlformats.org/drawingml/2006/chart">
              <c:chart xmlns:c="http://schemas.openxmlformats.org/drawingml/2006/chart" xmlns:r="http://schemas.openxmlformats.org/officeDocument/2006/relationships" r:id="rId9"/>
            </a:graphicData>
          </a:graphic>
        </xdr:graphicFrame>
      </xdr:grpSp>
      <mc:AlternateContent xmlns:mc="http://schemas.openxmlformats.org/markup-compatibility/2006" xmlns:a14="http://schemas.microsoft.com/office/drawing/2010/main">
        <mc:Choice Requires="a14">
          <xdr:graphicFrame macro="">
            <xdr:nvGraphicFramePr>
              <xdr:cNvPr id="26" name="Month 3"/>
              <xdr:cNvGraphicFramePr/>
            </xdr:nvGraphicFramePr>
            <xdr:xfrm>
              <a:off x="2295524" y="180975"/>
              <a:ext cx="6969632" cy="933450"/>
            </xdr:xfrm>
            <a:graphic>
              <a:graphicData uri="http://schemas.microsoft.com/office/drawing/2010/slicer">
                <sle:slicer xmlns:sle="http://schemas.microsoft.com/office/drawing/2010/slicer" name="Month 3"/>
              </a:graphicData>
            </a:graphic>
          </xdr:graphicFrame>
        </mc:Choice>
        <mc:Fallback xmlns="">
          <xdr:sp macro="" textlink="">
            <xdr:nvSpPr>
              <xdr:cNvPr id="0" name=""/>
              <xdr:cNvSpPr>
                <a:spLocks noTextEdit="1"/>
              </xdr:cNvSpPr>
            </xdr:nvSpPr>
            <xdr:spPr>
              <a:xfrm>
                <a:off x="2279388" y="909357"/>
                <a:ext cx="6705755" cy="933450"/>
              </a:xfrm>
              <a:prstGeom prst="rect">
                <a:avLst/>
              </a:prstGeom>
              <a:solidFill>
                <a:prstClr val="white"/>
              </a:solidFill>
              <a:ln w="1">
                <a:solidFill>
                  <a:prstClr val="green"/>
                </a:solidFill>
              </a:ln>
            </xdr:spPr>
            <xdr:txBody>
              <a:bodyPr vertOverflow="clip" horzOverflow="clip"/>
              <a:lstStyle/>
              <a:p>
                <a:r>
                  <a:rPr lang="en-US" sz="1100"/>
                  <a:t>This shape represents a slicer. Slicers can be used in at least Excel 2010.
If the shape was modified in an earlier version of Excel, or if the workbook was saved in Excel 2003 or earlier, the slicer cannot be used.</a:t>
                </a:r>
              </a:p>
            </xdr:txBody>
          </xdr:sp>
        </mc:Fallback>
      </mc:AlternateContent>
      <mc:AlternateContent xmlns:mc="http://schemas.openxmlformats.org/markup-compatibility/2006" xmlns:a14="http://schemas.microsoft.com/office/drawing/2010/main">
        <mc:Choice Requires="a14">
          <xdr:graphicFrame macro="">
            <xdr:nvGraphicFramePr>
              <xdr:cNvPr id="27" name="Region 6"/>
              <xdr:cNvGraphicFramePr/>
            </xdr:nvGraphicFramePr>
            <xdr:xfrm>
              <a:off x="9378008" y="171450"/>
              <a:ext cx="2471460" cy="942975"/>
            </xdr:xfrm>
            <a:graphic>
              <a:graphicData uri="http://schemas.microsoft.com/office/drawing/2010/slicer">
                <sle:slicer xmlns:sle="http://schemas.microsoft.com/office/drawing/2010/slicer" name="Region 6"/>
              </a:graphicData>
            </a:graphic>
          </xdr:graphicFrame>
        </mc:Choice>
        <mc:Fallback xmlns="">
          <xdr:sp macro="" textlink="">
            <xdr:nvSpPr>
              <xdr:cNvPr id="0" name=""/>
              <xdr:cNvSpPr>
                <a:spLocks noTextEdit="1"/>
              </xdr:cNvSpPr>
            </xdr:nvSpPr>
            <xdr:spPr>
              <a:xfrm>
                <a:off x="9089183" y="899832"/>
                <a:ext cx="2421260" cy="942975"/>
              </a:xfrm>
              <a:prstGeom prst="rect">
                <a:avLst/>
              </a:prstGeom>
              <a:solidFill>
                <a:prstClr val="white"/>
              </a:solidFill>
              <a:ln w="1">
                <a:solidFill>
                  <a:prstClr val="green"/>
                </a:solidFill>
              </a:ln>
            </xdr:spPr>
            <xdr:txBody>
              <a:bodyPr vertOverflow="clip" horzOverflow="clip"/>
              <a:lstStyle/>
              <a:p>
                <a:r>
                  <a:rPr lang="en-US" sz="1100"/>
                  <a:t>This shape represents a slicer. Slicers can be used in at least Excel 2010.
If the shape was modified in an earlier version of Excel, or if the workbook was saved in Excel 2003 or earlier, the slicer cannot be used.</a:t>
                </a:r>
              </a:p>
            </xdr:txBody>
          </xdr:sp>
        </mc:Fallback>
      </mc:AlternateContent>
    </xdr:grpSp>
    <xdr:clientData/>
  </xdr:twoCellAnchor>
  <xdr:twoCellAnchor>
    <xdr:from>
      <xdr:col>0</xdr:col>
      <xdr:colOff>12700</xdr:colOff>
      <xdr:row>0</xdr:row>
      <xdr:rowOff>38100</xdr:rowOff>
    </xdr:from>
    <xdr:to>
      <xdr:col>19</xdr:col>
      <xdr:colOff>508000</xdr:colOff>
      <xdr:row>3</xdr:row>
      <xdr:rowOff>76200</xdr:rowOff>
    </xdr:to>
    <xdr:sp macro="" textlink="">
      <xdr:nvSpPr>
        <xdr:cNvPr id="24" name="Rectangle 23"/>
        <xdr:cNvSpPr/>
      </xdr:nvSpPr>
      <xdr:spPr>
        <a:xfrm>
          <a:off x="12700" y="228600"/>
          <a:ext cx="11992535" cy="419100"/>
        </a:xfrm>
        <a:prstGeom prst="rect">
          <a:avLst/>
        </a:prstGeom>
        <a:solidFill>
          <a:srgbClr val="FF0066">
            <a:alpha val="78039"/>
          </a:srgb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marR="0" indent="0" algn="ctr" defTabSz="914400" rtl="0" eaLnBrk="1" fontAlgn="auto" latinLnBrk="0" hangingPunct="1">
            <a:lnSpc>
              <a:spcPct val="100000"/>
            </a:lnSpc>
            <a:spcBef>
              <a:spcPts val="0"/>
            </a:spcBef>
            <a:spcAft>
              <a:spcPts val="0"/>
            </a:spcAft>
            <a:buClrTx/>
            <a:buSzTx/>
            <a:buFontTx/>
            <a:buNone/>
            <a:tabLst/>
            <a:defRPr/>
          </a:pPr>
          <a:r>
            <a:rPr lang="en-US" sz="3200">
              <a:solidFill>
                <a:schemeClr val="lt1"/>
              </a:solidFill>
              <a:latin typeface="Arial Black" pitchFamily="34" charset="0"/>
              <a:ea typeface="+mn-ea"/>
              <a:cs typeface="+mn-cs"/>
            </a:rPr>
            <a:t>Salesperson</a:t>
          </a:r>
          <a:r>
            <a:rPr lang="en-US" sz="3200" b="1"/>
            <a:t> </a:t>
          </a:r>
          <a:r>
            <a:rPr lang="en-US" sz="3200">
              <a:solidFill>
                <a:schemeClr val="lt1"/>
              </a:solidFill>
              <a:latin typeface="Arial Black" pitchFamily="34" charset="0"/>
              <a:ea typeface="+mn-ea"/>
              <a:cs typeface="+mn-cs"/>
            </a:rPr>
            <a:t>Performance</a:t>
          </a:r>
          <a:r>
            <a:rPr lang="en-US" sz="3200" b="1"/>
            <a:t> </a:t>
          </a:r>
          <a:r>
            <a:rPr lang="en-US" sz="3200">
              <a:solidFill>
                <a:schemeClr val="lt1"/>
              </a:solidFill>
              <a:latin typeface="Arial Black" pitchFamily="34" charset="0"/>
              <a:ea typeface="+mn-ea"/>
              <a:cs typeface="+mn-cs"/>
            </a:rPr>
            <a:t>Leaderboard</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3</xdr:row>
      <xdr:rowOff>82363</xdr:rowOff>
    </xdr:from>
    <xdr:to>
      <xdr:col>19</xdr:col>
      <xdr:colOff>542925</xdr:colOff>
      <xdr:row>28</xdr:row>
      <xdr:rowOff>167634</xdr:rowOff>
    </xdr:to>
    <xdr:grpSp>
      <xdr:nvGrpSpPr>
        <xdr:cNvPr id="13" name="Group 12"/>
        <xdr:cNvGrpSpPr/>
      </xdr:nvGrpSpPr>
      <xdr:grpSpPr>
        <a:xfrm>
          <a:off x="0" y="653863"/>
          <a:ext cx="12040160" cy="4847771"/>
          <a:chOff x="200026" y="399046"/>
          <a:chExt cx="10260105" cy="4229100"/>
        </a:xfrm>
      </xdr:grpSpPr>
      <xdr:sp macro="" textlink="">
        <xdr:nvSpPr>
          <xdr:cNvPr id="20" name="Rounded Rectangle 19"/>
          <xdr:cNvSpPr/>
        </xdr:nvSpPr>
        <xdr:spPr>
          <a:xfrm>
            <a:off x="200026" y="399046"/>
            <a:ext cx="10260105" cy="4229100"/>
          </a:xfrm>
          <a:prstGeom prst="rect">
            <a:avLst/>
          </a:prstGeom>
          <a:solidFill>
            <a:srgbClr val="FF0066">
              <a:alpha val="78039"/>
            </a:srgb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21" name="Rounded Rectangle 3"/>
          <xdr:cNvSpPr/>
        </xdr:nvSpPr>
        <xdr:spPr>
          <a:xfrm>
            <a:off x="2000248" y="438152"/>
            <a:ext cx="8439562" cy="4170840"/>
          </a:xfrm>
          <a:custGeom>
            <a:avLst/>
            <a:gdLst>
              <a:gd name="connsiteX0" fmla="*/ 0 w 9903292"/>
              <a:gd name="connsiteY0" fmla="*/ 806158 h 4836851"/>
              <a:gd name="connsiteX1" fmla="*/ 806158 w 9903292"/>
              <a:gd name="connsiteY1" fmla="*/ 0 h 4836851"/>
              <a:gd name="connsiteX2" fmla="*/ 9097134 w 9903292"/>
              <a:gd name="connsiteY2" fmla="*/ 0 h 4836851"/>
              <a:gd name="connsiteX3" fmla="*/ 9903292 w 9903292"/>
              <a:gd name="connsiteY3" fmla="*/ 806158 h 4836851"/>
              <a:gd name="connsiteX4" fmla="*/ 9903292 w 9903292"/>
              <a:gd name="connsiteY4" fmla="*/ 4030693 h 4836851"/>
              <a:gd name="connsiteX5" fmla="*/ 9097134 w 9903292"/>
              <a:gd name="connsiteY5" fmla="*/ 4836851 h 4836851"/>
              <a:gd name="connsiteX6" fmla="*/ 806158 w 9903292"/>
              <a:gd name="connsiteY6" fmla="*/ 4836851 h 4836851"/>
              <a:gd name="connsiteX7" fmla="*/ 0 w 9903292"/>
              <a:gd name="connsiteY7" fmla="*/ 4030693 h 4836851"/>
              <a:gd name="connsiteX8" fmla="*/ 0 w 9903292"/>
              <a:gd name="connsiteY8" fmla="*/ 806158 h 4836851"/>
              <a:gd name="connsiteX0" fmla="*/ 22412 w 9903292"/>
              <a:gd name="connsiteY0" fmla="*/ 492393 h 4836851"/>
              <a:gd name="connsiteX1" fmla="*/ 806158 w 9903292"/>
              <a:gd name="connsiteY1" fmla="*/ 0 h 4836851"/>
              <a:gd name="connsiteX2" fmla="*/ 9097134 w 9903292"/>
              <a:gd name="connsiteY2" fmla="*/ 0 h 4836851"/>
              <a:gd name="connsiteX3" fmla="*/ 9903292 w 9903292"/>
              <a:gd name="connsiteY3" fmla="*/ 806158 h 4836851"/>
              <a:gd name="connsiteX4" fmla="*/ 9903292 w 9903292"/>
              <a:gd name="connsiteY4" fmla="*/ 4030693 h 4836851"/>
              <a:gd name="connsiteX5" fmla="*/ 9097134 w 9903292"/>
              <a:gd name="connsiteY5" fmla="*/ 4836851 h 4836851"/>
              <a:gd name="connsiteX6" fmla="*/ 806158 w 9903292"/>
              <a:gd name="connsiteY6" fmla="*/ 4836851 h 4836851"/>
              <a:gd name="connsiteX7" fmla="*/ 0 w 9903292"/>
              <a:gd name="connsiteY7" fmla="*/ 4030693 h 4836851"/>
              <a:gd name="connsiteX8" fmla="*/ 22412 w 9903292"/>
              <a:gd name="connsiteY8" fmla="*/ 492393 h 4836851"/>
              <a:gd name="connsiteX0" fmla="*/ 22412 w 9903292"/>
              <a:gd name="connsiteY0" fmla="*/ 492393 h 4836851"/>
              <a:gd name="connsiteX1" fmla="*/ 806158 w 9903292"/>
              <a:gd name="connsiteY1" fmla="*/ 0 h 4836851"/>
              <a:gd name="connsiteX2" fmla="*/ 9444517 w 9903292"/>
              <a:gd name="connsiteY2" fmla="*/ 0 h 4836851"/>
              <a:gd name="connsiteX3" fmla="*/ 9903292 w 9903292"/>
              <a:gd name="connsiteY3" fmla="*/ 806158 h 4836851"/>
              <a:gd name="connsiteX4" fmla="*/ 9903292 w 9903292"/>
              <a:gd name="connsiteY4" fmla="*/ 4030693 h 4836851"/>
              <a:gd name="connsiteX5" fmla="*/ 9097134 w 9903292"/>
              <a:gd name="connsiteY5" fmla="*/ 4836851 h 4836851"/>
              <a:gd name="connsiteX6" fmla="*/ 806158 w 9903292"/>
              <a:gd name="connsiteY6" fmla="*/ 4836851 h 4836851"/>
              <a:gd name="connsiteX7" fmla="*/ 0 w 9903292"/>
              <a:gd name="connsiteY7" fmla="*/ 4030693 h 4836851"/>
              <a:gd name="connsiteX8" fmla="*/ 22412 w 9903292"/>
              <a:gd name="connsiteY8" fmla="*/ 492393 h 4836851"/>
              <a:gd name="connsiteX0" fmla="*/ 22412 w 9903766"/>
              <a:gd name="connsiteY0" fmla="*/ 492393 h 4836851"/>
              <a:gd name="connsiteX1" fmla="*/ 806158 w 9903766"/>
              <a:gd name="connsiteY1" fmla="*/ 0 h 4836851"/>
              <a:gd name="connsiteX2" fmla="*/ 9444517 w 9903766"/>
              <a:gd name="connsiteY2" fmla="*/ 0 h 4836851"/>
              <a:gd name="connsiteX3" fmla="*/ 9903292 w 9903766"/>
              <a:gd name="connsiteY3" fmla="*/ 806158 h 4836851"/>
              <a:gd name="connsiteX4" fmla="*/ 9903292 w 9903766"/>
              <a:gd name="connsiteY4" fmla="*/ 4030693 h 4836851"/>
              <a:gd name="connsiteX5" fmla="*/ 9489340 w 9903766"/>
              <a:gd name="connsiteY5" fmla="*/ 4825645 h 4836851"/>
              <a:gd name="connsiteX6" fmla="*/ 806158 w 9903766"/>
              <a:gd name="connsiteY6" fmla="*/ 4836851 h 4836851"/>
              <a:gd name="connsiteX7" fmla="*/ 0 w 9903766"/>
              <a:gd name="connsiteY7" fmla="*/ 4030693 h 4836851"/>
              <a:gd name="connsiteX8" fmla="*/ 22412 w 9903766"/>
              <a:gd name="connsiteY8" fmla="*/ 492393 h 4836851"/>
              <a:gd name="connsiteX0" fmla="*/ 22412 w 9903766"/>
              <a:gd name="connsiteY0" fmla="*/ 492393 h 4836851"/>
              <a:gd name="connsiteX1" fmla="*/ 806158 w 9903766"/>
              <a:gd name="connsiteY1" fmla="*/ 0 h 4836851"/>
              <a:gd name="connsiteX2" fmla="*/ 9444517 w 9903766"/>
              <a:gd name="connsiteY2" fmla="*/ 0 h 4836851"/>
              <a:gd name="connsiteX3" fmla="*/ 9903292 w 9903766"/>
              <a:gd name="connsiteY3" fmla="*/ 806158 h 4836851"/>
              <a:gd name="connsiteX4" fmla="*/ 9903292 w 9903766"/>
              <a:gd name="connsiteY4" fmla="*/ 4030693 h 4836851"/>
              <a:gd name="connsiteX5" fmla="*/ 9489340 w 9903766"/>
              <a:gd name="connsiteY5" fmla="*/ 4825645 h 4836851"/>
              <a:gd name="connsiteX6" fmla="*/ 806158 w 9903766"/>
              <a:gd name="connsiteY6" fmla="*/ 4836851 h 4836851"/>
              <a:gd name="connsiteX7" fmla="*/ 0 w 9903766"/>
              <a:gd name="connsiteY7" fmla="*/ 4366869 h 4836851"/>
              <a:gd name="connsiteX8" fmla="*/ 22412 w 9903766"/>
              <a:gd name="connsiteY8" fmla="*/ 492393 h 4836851"/>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Lst>
            <a:rect l="l" t="t" r="r" b="b"/>
            <a:pathLst>
              <a:path w="9903766" h="4836851">
                <a:moveTo>
                  <a:pt x="22412" y="492393"/>
                </a:moveTo>
                <a:cubicBezTo>
                  <a:pt x="22412" y="47164"/>
                  <a:pt x="360929" y="0"/>
                  <a:pt x="806158" y="0"/>
                </a:cubicBezTo>
                <a:lnTo>
                  <a:pt x="9444517" y="0"/>
                </a:lnTo>
                <a:cubicBezTo>
                  <a:pt x="9889746" y="0"/>
                  <a:pt x="9903292" y="360929"/>
                  <a:pt x="9903292" y="806158"/>
                </a:cubicBezTo>
                <a:lnTo>
                  <a:pt x="9903292" y="4030693"/>
                </a:lnTo>
                <a:cubicBezTo>
                  <a:pt x="9903292" y="4475922"/>
                  <a:pt x="9934569" y="4825645"/>
                  <a:pt x="9489340" y="4825645"/>
                </a:cubicBezTo>
                <a:lnTo>
                  <a:pt x="806158" y="4836851"/>
                </a:lnTo>
                <a:cubicBezTo>
                  <a:pt x="360929" y="4836851"/>
                  <a:pt x="0" y="4812098"/>
                  <a:pt x="0" y="4366869"/>
                </a:cubicBezTo>
                <a:cubicBezTo>
                  <a:pt x="0" y="3292024"/>
                  <a:pt x="22412" y="1567238"/>
                  <a:pt x="22412" y="492393"/>
                </a:cubicBezTo>
                <a:close/>
              </a:path>
            </a:pathLst>
          </a:custGeom>
          <a:solidFill>
            <a:schemeClr val="accent6">
              <a:lumMod val="20000"/>
              <a:lumOff val="8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22" name="Rounded Rectangle 21">
            <a:hlinkClick xmlns:r="http://schemas.openxmlformats.org/officeDocument/2006/relationships" r:id="rId1"/>
          </xdr:cNvPr>
          <xdr:cNvSpPr/>
        </xdr:nvSpPr>
        <xdr:spPr>
          <a:xfrm>
            <a:off x="628650" y="1066800"/>
            <a:ext cx="1147293" cy="437291"/>
          </a:xfrm>
          <a:prstGeom prst="rect">
            <a:avLst/>
          </a:prstGeom>
          <a:solidFill>
            <a:schemeClr val="accent6">
              <a:lumMod val="60000"/>
              <a:lumOff val="4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200" b="1">
                <a:solidFill>
                  <a:schemeClr val="tx1"/>
                </a:solidFill>
                <a:latin typeface="Arial Black" pitchFamily="34" charset="0"/>
              </a:rPr>
              <a:t>DASHBOARD</a:t>
            </a:r>
          </a:p>
        </xdr:txBody>
      </xdr:sp>
      <xdr:sp macro="" textlink="">
        <xdr:nvSpPr>
          <xdr:cNvPr id="23" name="Rounded Rectangle 22">
            <a:hlinkClick xmlns:r="http://schemas.openxmlformats.org/officeDocument/2006/relationships" r:id="rId2"/>
          </xdr:cNvPr>
          <xdr:cNvSpPr/>
        </xdr:nvSpPr>
        <xdr:spPr>
          <a:xfrm>
            <a:off x="600075" y="1847848"/>
            <a:ext cx="1144459" cy="440936"/>
          </a:xfrm>
          <a:prstGeom prst="rect">
            <a:avLst/>
          </a:prstGeom>
          <a:solidFill>
            <a:schemeClr val="accent6">
              <a:lumMod val="60000"/>
              <a:lumOff val="4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200" b="1">
                <a:solidFill>
                  <a:schemeClr val="tx1"/>
                </a:solidFill>
                <a:latin typeface="Arial Black" pitchFamily="34" charset="0"/>
                <a:ea typeface="+mn-ea"/>
                <a:cs typeface="+mn-cs"/>
              </a:rPr>
              <a:t>PRODUCT</a:t>
            </a:r>
          </a:p>
        </xdr:txBody>
      </xdr:sp>
      <xdr:sp macro="" textlink="">
        <xdr:nvSpPr>
          <xdr:cNvPr id="24" name="Rounded Rectangle 23">
            <a:hlinkClick xmlns:r="http://schemas.openxmlformats.org/officeDocument/2006/relationships" r:id="rId3"/>
          </xdr:cNvPr>
          <xdr:cNvSpPr/>
        </xdr:nvSpPr>
        <xdr:spPr>
          <a:xfrm>
            <a:off x="581025" y="2609850"/>
            <a:ext cx="1144459" cy="436822"/>
          </a:xfrm>
          <a:prstGeom prst="rect">
            <a:avLst/>
          </a:prstGeom>
          <a:solidFill>
            <a:schemeClr val="accent6">
              <a:lumMod val="60000"/>
              <a:lumOff val="4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050" b="1">
                <a:solidFill>
                  <a:schemeClr val="tx1"/>
                </a:solidFill>
                <a:latin typeface="Arial Black" pitchFamily="34" charset="0"/>
                <a:ea typeface="+mn-ea"/>
                <a:cs typeface="+mn-cs"/>
              </a:rPr>
              <a:t>SALESPERSON</a:t>
            </a:r>
            <a:endParaRPr lang="en-US" sz="900" b="1">
              <a:solidFill>
                <a:schemeClr val="tx1"/>
              </a:solidFill>
              <a:latin typeface="Arial Black" pitchFamily="34" charset="0"/>
              <a:ea typeface="+mn-ea"/>
              <a:cs typeface="+mn-cs"/>
            </a:endParaRPr>
          </a:p>
        </xdr:txBody>
      </xdr:sp>
      <xdr:sp macro="" textlink="">
        <xdr:nvSpPr>
          <xdr:cNvPr id="25" name="Rounded Rectangle 24">
            <a:hlinkClick xmlns:r="http://schemas.openxmlformats.org/officeDocument/2006/relationships" r:id="rId4"/>
          </xdr:cNvPr>
          <xdr:cNvSpPr/>
        </xdr:nvSpPr>
        <xdr:spPr>
          <a:xfrm>
            <a:off x="590550" y="3448048"/>
            <a:ext cx="1144459" cy="440936"/>
          </a:xfrm>
          <a:prstGeom prst="rect">
            <a:avLst/>
          </a:prstGeom>
          <a:solidFill>
            <a:sysClr val="window" lastClr="FFFFF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b="1">
                <a:solidFill>
                  <a:srgbClr val="FF0066"/>
                </a:solidFill>
                <a:latin typeface="Arial Black" pitchFamily="34" charset="0"/>
                <a:ea typeface="+mn-ea"/>
                <a:cs typeface="+mn-cs"/>
              </a:rPr>
              <a:t>CONCLUSION</a:t>
            </a:r>
            <a:endParaRPr lang="en-US" sz="900" b="1">
              <a:solidFill>
                <a:srgbClr val="FF0066"/>
              </a:solidFill>
              <a:latin typeface="Arial Black" pitchFamily="34" charset="0"/>
              <a:ea typeface="+mn-ea"/>
              <a:cs typeface="+mn-cs"/>
            </a:endParaRPr>
          </a:p>
        </xdr:txBody>
      </xdr:sp>
    </xdr:grpSp>
    <xdr:clientData/>
  </xdr:twoCellAnchor>
  <xdr:twoCellAnchor>
    <xdr:from>
      <xdr:col>0</xdr:col>
      <xdr:colOff>0</xdr:colOff>
      <xdr:row>0</xdr:row>
      <xdr:rowOff>44824</xdr:rowOff>
    </xdr:from>
    <xdr:to>
      <xdr:col>19</xdr:col>
      <xdr:colOff>495300</xdr:colOff>
      <xdr:row>3</xdr:row>
      <xdr:rowOff>57524</xdr:rowOff>
    </xdr:to>
    <xdr:sp macro="" textlink="">
      <xdr:nvSpPr>
        <xdr:cNvPr id="11" name="Rectangle 10"/>
        <xdr:cNvSpPr/>
      </xdr:nvSpPr>
      <xdr:spPr>
        <a:xfrm>
          <a:off x="0" y="44824"/>
          <a:ext cx="11992535" cy="584200"/>
        </a:xfrm>
        <a:prstGeom prst="rect">
          <a:avLst/>
        </a:prstGeom>
        <a:solidFill>
          <a:srgbClr val="FF0066">
            <a:alpha val="78039"/>
          </a:srgb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marR="0" indent="0" algn="ctr" defTabSz="914400" rtl="0" eaLnBrk="1" fontAlgn="auto" latinLnBrk="0" hangingPunct="1">
            <a:lnSpc>
              <a:spcPct val="100000"/>
            </a:lnSpc>
            <a:spcBef>
              <a:spcPts val="0"/>
            </a:spcBef>
            <a:spcAft>
              <a:spcPts val="0"/>
            </a:spcAft>
            <a:buClrTx/>
            <a:buSzTx/>
            <a:buFontTx/>
            <a:buNone/>
            <a:tabLst/>
            <a:defRPr/>
          </a:pPr>
          <a:r>
            <a:rPr lang="en-US" sz="3200">
              <a:solidFill>
                <a:schemeClr val="lt1"/>
              </a:solidFill>
              <a:latin typeface="Arial Black" pitchFamily="34" charset="0"/>
              <a:ea typeface="+mn-ea"/>
              <a:cs typeface="+mn-cs"/>
            </a:rPr>
            <a:t>Final</a:t>
          </a:r>
          <a:r>
            <a:rPr lang="en-US" sz="3200"/>
            <a:t> </a:t>
          </a:r>
          <a:r>
            <a:rPr lang="en-US" sz="3200">
              <a:solidFill>
                <a:schemeClr val="lt1"/>
              </a:solidFill>
              <a:latin typeface="Arial Black" pitchFamily="34" charset="0"/>
              <a:ea typeface="+mn-ea"/>
              <a:cs typeface="+mn-cs"/>
            </a:rPr>
            <a:t>Insights</a:t>
          </a:r>
          <a:r>
            <a:rPr lang="en-US" sz="3200"/>
            <a:t> &amp; </a:t>
          </a:r>
          <a:r>
            <a:rPr lang="en-US" sz="3200">
              <a:solidFill>
                <a:schemeClr val="lt1"/>
              </a:solidFill>
              <a:latin typeface="Arial Black" pitchFamily="34" charset="0"/>
              <a:ea typeface="+mn-ea"/>
              <a:cs typeface="+mn-cs"/>
            </a:rPr>
            <a:t>Conclusions</a:t>
          </a:r>
        </a:p>
      </xdr:txBody>
    </xdr:sp>
    <xdr:clientData/>
  </xdr:twoCellAnchor>
  <xdr:twoCellAnchor>
    <xdr:from>
      <xdr:col>4</xdr:col>
      <xdr:colOff>50800</xdr:colOff>
      <xdr:row>4</xdr:row>
      <xdr:rowOff>177800</xdr:rowOff>
    </xdr:from>
    <xdr:to>
      <xdr:col>18</xdr:col>
      <xdr:colOff>495300</xdr:colOff>
      <xdr:row>27</xdr:row>
      <xdr:rowOff>145676</xdr:rowOff>
    </xdr:to>
    <xdr:sp macro="" textlink="">
      <xdr:nvSpPr>
        <xdr:cNvPr id="2" name="TextBox 1"/>
        <xdr:cNvSpPr txBox="1"/>
      </xdr:nvSpPr>
      <xdr:spPr>
        <a:xfrm>
          <a:off x="2471271" y="939800"/>
          <a:ext cx="8916147" cy="4349376"/>
        </a:xfrm>
        <a:prstGeom prst="rect">
          <a:avLst/>
        </a:prstGeom>
        <a:solidFill>
          <a:schemeClr val="accent6">
            <a:lumMod val="20000"/>
            <a:lumOff val="8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US" sz="3200" b="1">
              <a:solidFill>
                <a:srgbClr val="FF0066"/>
              </a:solidFill>
            </a:rPr>
            <a:t>-</a:t>
          </a:r>
          <a:r>
            <a:rPr lang="en-US" sz="1800" b="1"/>
            <a:t> Overall Sales Performance:</a:t>
          </a:r>
          <a:r>
            <a:rPr lang="en-US" sz="1800"/>
            <a:t> The business generated total revenue of </a:t>
          </a:r>
          <a:r>
            <a:rPr lang="en-US" sz="1800" b="1"/>
            <a:t>₹34,49,450</a:t>
          </a:r>
          <a:r>
            <a:rPr lang="en-US" sz="1800"/>
            <a:t> with </a:t>
          </a:r>
          <a:r>
            <a:rPr lang="en-US" sz="1800" b="1"/>
            <a:t>1,634 units</a:t>
          </a:r>
          <a:r>
            <a:rPr lang="en-US" sz="1800"/>
            <a:t> sold across all regions.</a:t>
          </a:r>
        </a:p>
        <a:p>
          <a:pPr algn="l"/>
          <a:endParaRPr lang="en-US" sz="1800"/>
        </a:p>
        <a:p>
          <a:pPr algn="l"/>
          <a:r>
            <a:rPr lang="en-US" sz="3200" b="1">
              <a:solidFill>
                <a:srgbClr val="FF0066"/>
              </a:solidFill>
            </a:rPr>
            <a:t>- </a:t>
          </a:r>
          <a:r>
            <a:rPr lang="en-US" sz="1800" b="1"/>
            <a:t>Top Performing Products:</a:t>
          </a:r>
          <a:r>
            <a:rPr lang="en-US" sz="1800"/>
            <a:t> </a:t>
          </a:r>
          <a:r>
            <a:rPr lang="en-US" sz="1800" b="1"/>
            <a:t>Mouse</a:t>
          </a:r>
          <a:r>
            <a:rPr lang="en-US" sz="1800"/>
            <a:t> and </a:t>
          </a:r>
          <a:r>
            <a:rPr lang="en-US" sz="1800" b="1"/>
            <a:t>Speaker</a:t>
          </a:r>
          <a:r>
            <a:rPr lang="en-US" sz="1800"/>
            <a:t> are driving the most volume.</a:t>
          </a:r>
        </a:p>
        <a:p>
          <a:pPr algn="l"/>
          <a:endParaRPr lang="en-US" sz="1800"/>
        </a:p>
        <a:p>
          <a:pPr algn="l"/>
          <a:r>
            <a:rPr lang="en-US" sz="3200" b="1">
              <a:solidFill>
                <a:srgbClr val="FF0066"/>
              </a:solidFill>
            </a:rPr>
            <a:t>- </a:t>
          </a:r>
          <a:r>
            <a:rPr lang="en-US" sz="1800" b="1"/>
            <a:t>Underperforming Segments:</a:t>
          </a:r>
          <a:r>
            <a:rPr lang="en-US" sz="1800"/>
            <a:t> </a:t>
          </a:r>
          <a:r>
            <a:rPr lang="en-US" sz="1800" b="1"/>
            <a:t>Printer</a:t>
          </a:r>
          <a:r>
            <a:rPr lang="en-US" sz="1800"/>
            <a:t> and </a:t>
          </a:r>
          <a:r>
            <a:rPr lang="en-US" sz="1800" b="1"/>
            <a:t>Scanner</a:t>
          </a:r>
          <a:r>
            <a:rPr lang="en-US" sz="1800"/>
            <a:t> are lagging behind.</a:t>
          </a:r>
        </a:p>
        <a:p>
          <a:pPr algn="l"/>
          <a:endParaRPr lang="en-US" sz="1800"/>
        </a:p>
        <a:p>
          <a:pPr algn="l"/>
          <a:r>
            <a:rPr lang="en-US" sz="3200" b="1">
              <a:solidFill>
                <a:srgbClr val="FF0066"/>
              </a:solidFill>
            </a:rPr>
            <a:t>- </a:t>
          </a:r>
          <a:r>
            <a:rPr lang="en-US" sz="1800" b="1"/>
            <a:t>Salesforce Excellence:</a:t>
          </a:r>
          <a:r>
            <a:rPr lang="en-US" sz="1800"/>
            <a:t> </a:t>
          </a:r>
          <a:r>
            <a:rPr lang="en-US" sz="1800" b="1"/>
            <a:t>Ravi, Simran, and Vikas</a:t>
          </a:r>
          <a:r>
            <a:rPr lang="en-US" sz="1800"/>
            <a:t> are the top-performing salespersons.</a:t>
          </a:r>
        </a:p>
        <a:p>
          <a:pPr algn="l"/>
          <a:endParaRPr lang="en-US" sz="1800"/>
        </a:p>
        <a:p>
          <a:pPr algn="l"/>
          <a:r>
            <a:rPr lang="en-US" sz="3200" b="1">
              <a:solidFill>
                <a:srgbClr val="FF0066"/>
              </a:solidFill>
            </a:rPr>
            <a:t>- </a:t>
          </a:r>
          <a:r>
            <a:rPr lang="en-US" sz="1800" b="1"/>
            <a:t>Strategic Recommendation:</a:t>
          </a:r>
          <a:r>
            <a:rPr lang="en-US" sz="1800"/>
            <a:t> Focus inventory optimization on high-demand items (Mice/Speakers) and implement sales training or incentive programs modeled after top performers to boost lower-tier sales.</a:t>
          </a:r>
        </a:p>
        <a:p>
          <a:pPr algn="l"/>
          <a:endParaRPr lang="en-US" sz="1100"/>
        </a:p>
      </xdr:txBody>
    </xdr:sp>
    <xdr:clientData/>
  </xdr:twoCellAnchor>
</xdr:wsDr>
</file>

<file path=xl/drawings/drawing5.xml><?xml version="1.0" encoding="utf-8"?>
<xdr:wsDr xmlns:xdr="http://schemas.openxmlformats.org/drawingml/2006/spreadsheetDrawing" xmlns:a="http://schemas.openxmlformats.org/drawingml/2006/main">
  <xdr:twoCellAnchor editAs="oneCell">
    <xdr:from>
      <xdr:col>14</xdr:col>
      <xdr:colOff>209551</xdr:colOff>
      <xdr:row>0</xdr:row>
      <xdr:rowOff>66676</xdr:rowOff>
    </xdr:from>
    <xdr:to>
      <xdr:col>20</xdr:col>
      <xdr:colOff>127646</xdr:colOff>
      <xdr:row>4</xdr:row>
      <xdr:rowOff>66676</xdr:rowOff>
    </xdr:to>
    <mc:AlternateContent xmlns:mc="http://schemas.openxmlformats.org/markup-compatibility/2006" xmlns:a14="http://schemas.microsoft.com/office/drawing/2010/main">
      <mc:Choice Requires="a14">
        <xdr:graphicFrame macro="">
          <xdr:nvGraphicFramePr>
            <xdr:cNvPr id="4" name="Product"/>
            <xdr:cNvGraphicFramePr/>
          </xdr:nvGraphicFramePr>
          <xdr:xfrm>
            <a:off x="0" y="0"/>
            <a:ext cx="0" cy="0"/>
          </xdr:xfrm>
          <a:graphic>
            <a:graphicData uri="http://schemas.microsoft.com/office/drawing/2010/slicer">
              <sle:slicer xmlns:sle="http://schemas.microsoft.com/office/drawing/2010/slicer" name="Product"/>
            </a:graphicData>
          </a:graphic>
        </xdr:graphicFrame>
      </mc:Choice>
      <mc:Fallback xmlns="">
        <xdr:sp macro="" textlink="">
          <xdr:nvSpPr>
            <xdr:cNvPr id="0" name=""/>
            <xdr:cNvSpPr>
              <a:spLocks noTextEdit="1"/>
            </xdr:cNvSpPr>
          </xdr:nvSpPr>
          <xdr:spPr>
            <a:xfrm>
              <a:off x="9620251" y="66676"/>
              <a:ext cx="4899670" cy="762000"/>
            </a:xfrm>
            <a:prstGeom prst="rect">
              <a:avLst/>
            </a:prstGeom>
            <a:solidFill>
              <a:prstClr val="white"/>
            </a:solidFill>
            <a:ln w="1">
              <a:solidFill>
                <a:prstClr val="green"/>
              </a:solidFill>
            </a:ln>
          </xdr:spPr>
          <xdr:txBody>
            <a:bodyPr vertOverflow="clip" horzOverflow="clip"/>
            <a:lstStyle/>
            <a:p>
              <a:r>
                <a:rPr lang="en-US" sz="1100"/>
                <a:t>This shape represents a slicer. Slicers can be used in at least Excel 2010.
If the shape was modified in an earlier version of Excel, or if the workbook was saved in Excel 2003 or earlier, the slicer cannot be used.</a:t>
              </a:r>
            </a:p>
          </xdr:txBody>
        </xdr:sp>
      </mc:Fallback>
    </mc:AlternateContent>
    <xdr:clientData/>
  </xdr:twoCellAnchor>
  <xdr:twoCellAnchor editAs="oneCell">
    <xdr:from>
      <xdr:col>18</xdr:col>
      <xdr:colOff>123824</xdr:colOff>
      <xdr:row>13</xdr:row>
      <xdr:rowOff>171450</xdr:rowOff>
    </xdr:from>
    <xdr:to>
      <xdr:col>20</xdr:col>
      <xdr:colOff>35914</xdr:colOff>
      <xdr:row>18</xdr:row>
      <xdr:rowOff>161925</xdr:rowOff>
    </xdr:to>
    <mc:AlternateContent xmlns:mc="http://schemas.openxmlformats.org/markup-compatibility/2006" xmlns:a14="http://schemas.microsoft.com/office/drawing/2010/main">
      <mc:Choice Requires="a14">
        <xdr:graphicFrame macro="">
          <xdr:nvGraphicFramePr>
            <xdr:cNvPr id="5" name="Region 1"/>
            <xdr:cNvGraphicFramePr/>
          </xdr:nvGraphicFramePr>
          <xdr:xfrm>
            <a:off x="0" y="0"/>
            <a:ext cx="0" cy="0"/>
          </xdr:xfrm>
          <a:graphic>
            <a:graphicData uri="http://schemas.microsoft.com/office/drawing/2010/slicer">
              <sle:slicer xmlns:sle="http://schemas.microsoft.com/office/drawing/2010/slicer" name="Region 1"/>
            </a:graphicData>
          </a:graphic>
        </xdr:graphicFrame>
      </mc:Choice>
      <mc:Fallback xmlns="">
        <xdr:sp macro="" textlink="">
          <xdr:nvSpPr>
            <xdr:cNvPr id="0" name=""/>
            <xdr:cNvSpPr>
              <a:spLocks noTextEdit="1"/>
            </xdr:cNvSpPr>
          </xdr:nvSpPr>
          <xdr:spPr>
            <a:xfrm>
              <a:off x="12001499" y="2266950"/>
              <a:ext cx="1712315" cy="942975"/>
            </a:xfrm>
            <a:prstGeom prst="rect">
              <a:avLst/>
            </a:prstGeom>
            <a:solidFill>
              <a:prstClr val="white"/>
            </a:solidFill>
            <a:ln w="1">
              <a:solidFill>
                <a:prstClr val="green"/>
              </a:solidFill>
            </a:ln>
          </xdr:spPr>
          <xdr:txBody>
            <a:bodyPr vertOverflow="clip" horzOverflow="clip"/>
            <a:lstStyle/>
            <a:p>
              <a:r>
                <a:rPr lang="en-US" sz="1100"/>
                <a:t>This shape represents a slicer. Slicers can be used in at least Excel 2010.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85726</xdr:colOff>
      <xdr:row>0</xdr:row>
      <xdr:rowOff>85726</xdr:rowOff>
    </xdr:from>
    <xdr:to>
      <xdr:col>4</xdr:col>
      <xdr:colOff>1209675</xdr:colOff>
      <xdr:row>5</xdr:row>
      <xdr:rowOff>66676</xdr:rowOff>
    </xdr:to>
    <mc:AlternateContent xmlns:mc="http://schemas.openxmlformats.org/markup-compatibility/2006" xmlns:a14="http://schemas.microsoft.com/office/drawing/2010/main">
      <mc:Choice Requires="a14">
        <xdr:graphicFrame macro="">
          <xdr:nvGraphicFramePr>
            <xdr:cNvPr id="6" name="Month"/>
            <xdr:cNvGraphicFramePr/>
          </xdr:nvGraphicFramePr>
          <xdr:xfrm>
            <a:off x="0" y="0"/>
            <a:ext cx="0" cy="0"/>
          </xdr:xfrm>
          <a:graphic>
            <a:graphicData uri="http://schemas.microsoft.com/office/drawing/2010/slicer">
              <sle:slicer xmlns:sle="http://schemas.microsoft.com/office/drawing/2010/slicer" name="Month"/>
            </a:graphicData>
          </a:graphic>
        </xdr:graphicFrame>
      </mc:Choice>
      <mc:Fallback xmlns="">
        <xdr:sp macro="" textlink="">
          <xdr:nvSpPr>
            <xdr:cNvPr id="0" name=""/>
            <xdr:cNvSpPr>
              <a:spLocks noTextEdit="1"/>
            </xdr:cNvSpPr>
          </xdr:nvSpPr>
          <xdr:spPr>
            <a:xfrm>
              <a:off x="85726" y="85726"/>
              <a:ext cx="5762624" cy="933450"/>
            </a:xfrm>
            <a:prstGeom prst="rect">
              <a:avLst/>
            </a:prstGeom>
            <a:solidFill>
              <a:prstClr val="white"/>
            </a:solidFill>
            <a:ln w="1">
              <a:solidFill>
                <a:prstClr val="green"/>
              </a:solidFill>
            </a:ln>
          </xdr:spPr>
          <xdr:txBody>
            <a:bodyPr vertOverflow="clip" horzOverflow="clip"/>
            <a:lstStyle/>
            <a:p>
              <a:r>
                <a:rPr lang="en-US" sz="1100"/>
                <a:t>This shape represents a slicer. Slicers can be used in at least Excel 2010.
If the shape was modified in an earlier version of Excel, or if the workbook was saved in Excel 2003 or earlier, the slicer cannot be used.</a:t>
              </a:r>
            </a:p>
          </xdr:txBody>
        </xdr:sp>
      </mc:Fallback>
    </mc:AlternateContent>
    <xdr:clientData/>
  </xdr:twoCellAnchor>
  <xdr:twoCellAnchor>
    <xdr:from>
      <xdr:col>27</xdr:col>
      <xdr:colOff>133352</xdr:colOff>
      <xdr:row>6</xdr:row>
      <xdr:rowOff>19050</xdr:rowOff>
    </xdr:from>
    <xdr:to>
      <xdr:col>28</xdr:col>
      <xdr:colOff>152401</xdr:colOff>
      <xdr:row>9</xdr:row>
      <xdr:rowOff>38100</xdr:rowOff>
    </xdr:to>
    <xdr:sp macro="" textlink="$Y$7">
      <xdr:nvSpPr>
        <xdr:cNvPr id="2" name="Rectangle 1"/>
        <xdr:cNvSpPr/>
      </xdr:nvSpPr>
      <xdr:spPr>
        <a:xfrm>
          <a:off x="23231477" y="1162050"/>
          <a:ext cx="733424" cy="400050"/>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fld id="{E8AF959B-926C-436A-9DB0-46D6A51F9B66}" type="TxLink">
            <a:rPr lang="en-US" sz="1100">
              <a:solidFill>
                <a:sysClr val="windowText" lastClr="000000"/>
              </a:solidFill>
            </a:rPr>
            <a:pPr algn="l"/>
            <a:t>3449450</a:t>
          </a:fld>
          <a:endParaRPr lang="en-US" sz="1100">
            <a:solidFill>
              <a:sysClr val="windowText" lastClr="000000"/>
            </a:solidFill>
          </a:endParaRPr>
        </a:p>
      </xdr:txBody>
    </xdr:sp>
    <xdr:clientData/>
  </xdr:twoCellAnchor>
  <xdr:twoCellAnchor>
    <xdr:from>
      <xdr:col>27</xdr:col>
      <xdr:colOff>285750</xdr:colOff>
      <xdr:row>11</xdr:row>
      <xdr:rowOff>9525</xdr:rowOff>
    </xdr:from>
    <xdr:to>
      <xdr:col>28</xdr:col>
      <xdr:colOff>114300</xdr:colOff>
      <xdr:row>13</xdr:row>
      <xdr:rowOff>28575</xdr:rowOff>
    </xdr:to>
    <xdr:sp macro="" textlink="$Y$12">
      <xdr:nvSpPr>
        <xdr:cNvPr id="7" name="Rectangle 6"/>
        <xdr:cNvSpPr/>
      </xdr:nvSpPr>
      <xdr:spPr>
        <a:xfrm>
          <a:off x="23383875" y="1914525"/>
          <a:ext cx="542925" cy="400050"/>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fld id="{A7CAD2D8-DE02-47E7-ACBF-D96E352BA46E}" type="TxLink">
            <a:rPr lang="en-US" sz="1100">
              <a:solidFill>
                <a:sysClr val="windowText" lastClr="000000"/>
              </a:solidFill>
            </a:rPr>
            <a:pPr algn="l"/>
            <a:t>1634</a:t>
          </a:fld>
          <a:endParaRPr lang="en-US" sz="1100">
            <a:solidFill>
              <a:sysClr val="windowText" lastClr="000000"/>
            </a:solidFill>
          </a:endParaRPr>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r:id="rId1" refreshedBy="DELL" refreshedDate="46165.067130555559" createdVersion="4" refreshedVersion="4" minRefreshableVersion="3" recordCount="80">
  <cacheSource type="worksheet">
    <worksheetSource name="Table1"/>
  </cacheSource>
  <cacheFields count="9">
    <cacheField name="Order ID" numFmtId="0">
      <sharedItems/>
    </cacheField>
    <cacheField name="Date" numFmtId="0">
      <sharedItems/>
    </cacheField>
    <cacheField name="Month" numFmtId="0">
      <sharedItems count="12">
        <s v="Jan"/>
        <s v="Feb"/>
        <s v="Nov"/>
        <s v="Mar"/>
        <s v="Aug"/>
        <s v="Jul"/>
        <s v="May"/>
        <s v="Sep"/>
        <s v="Jun"/>
        <s v="Oct"/>
        <s v="Apr"/>
        <s v="Dec"/>
      </sharedItems>
    </cacheField>
    <cacheField name="Region" numFmtId="0">
      <sharedItems count="4">
        <s v="South"/>
        <s v="East"/>
        <s v="North"/>
        <s v="West"/>
      </sharedItems>
    </cacheField>
    <cacheField name="Product" numFmtId="0">
      <sharedItems count="6">
        <s v="Monitor"/>
        <s v="Scanner"/>
        <s v="Speaker"/>
        <s v="Mouse"/>
        <s v="Printer"/>
        <s v="Keyboard"/>
      </sharedItems>
    </cacheField>
    <cacheField name="Salesperson" numFmtId="0">
      <sharedItems count="8">
        <s v="Karan"/>
        <s v="Simran"/>
        <s v="Amit"/>
        <s v="Vikas"/>
        <s v="Ravi"/>
        <s v="Pooja"/>
        <s v="Ajay"/>
        <s v="Neha"/>
      </sharedItems>
    </cacheField>
    <cacheField name="Qty" numFmtId="0">
      <sharedItems containsSemiMixedTypes="0" containsString="0" containsNumber="1" containsInteger="1" minValue="1" maxValue="35"/>
    </cacheField>
    <cacheField name="Unit Price" numFmtId="0">
      <sharedItems containsSemiMixedTypes="0" containsString="0" containsNumber="1" containsInteger="1" minValue="1" maxValue="3106"/>
    </cacheField>
    <cacheField name="Total Sales" numFmtId="0">
      <sharedItems containsSemiMixedTypes="0" containsString="0" containsNumber="1" containsInteger="1" minValue="1" maxValue="104930"/>
    </cacheField>
  </cacheFields>
  <extLst>
    <ext xmlns:x14="http://schemas.microsoft.com/office/spreadsheetml/2009/9/main" uri="{725AE2AE-9491-48be-B2B4-4EB974FC3084}">
      <x14:pivotCacheDefinition pivotCacheId="1"/>
    </ext>
  </extLst>
</pivotCacheDefinition>
</file>

<file path=xl/pivotCache/pivotCacheRecords1.xml><?xml version="1.0" encoding="utf-8"?>
<pivotCacheRecords xmlns="http://schemas.openxmlformats.org/spreadsheetml/2006/main" xmlns:r="http://schemas.openxmlformats.org/officeDocument/2006/relationships" count="80">
  <r>
    <s v="ORD0001"/>
    <s v="13-Jan-2021"/>
    <x v="0"/>
    <x v="0"/>
    <x v="0"/>
    <x v="0"/>
    <n v="25"/>
    <n v="1428"/>
    <n v="35700"/>
  </r>
  <r>
    <s v="ORD0002"/>
    <s v="22-Feb-2021"/>
    <x v="1"/>
    <x v="1"/>
    <x v="1"/>
    <x v="1"/>
    <n v="9"/>
    <n v="2708"/>
    <n v="24372"/>
  </r>
  <r>
    <s v="ORD0003"/>
    <s v="17-Feb-2021"/>
    <x v="1"/>
    <x v="2"/>
    <x v="0"/>
    <x v="2"/>
    <n v="6"/>
    <n v="1261"/>
    <n v="7566"/>
  </r>
  <r>
    <s v="ORD0004"/>
    <s v="29-Nov-2021"/>
    <x v="2"/>
    <x v="3"/>
    <x v="0"/>
    <x v="3"/>
    <n v="22"/>
    <n v="1607"/>
    <n v="35354"/>
  </r>
  <r>
    <s v="ORD0005"/>
    <s v="04-Jan-2021"/>
    <x v="0"/>
    <x v="2"/>
    <x v="2"/>
    <x v="1"/>
    <n v="23"/>
    <n v="1769"/>
    <n v="40687"/>
  </r>
  <r>
    <s v="ORD0006"/>
    <s v="21-Mar-2021"/>
    <x v="3"/>
    <x v="2"/>
    <x v="3"/>
    <x v="4"/>
    <n v="15"/>
    <n v="1769"/>
    <n v="26535"/>
  </r>
  <r>
    <s v="ORD0007"/>
    <s v="19-Feb-2021"/>
    <x v="1"/>
    <x v="0"/>
    <x v="3"/>
    <x v="5"/>
    <n v="7"/>
    <n v="1978"/>
    <n v="13846"/>
  </r>
  <r>
    <s v="ORD0008"/>
    <s v="24-Aug-2021"/>
    <x v="4"/>
    <x v="1"/>
    <x v="4"/>
    <x v="4"/>
    <n v="30"/>
    <n v="1288"/>
    <n v="38640"/>
  </r>
  <r>
    <s v="ORD0009"/>
    <s v="18-Nov-2021"/>
    <x v="2"/>
    <x v="0"/>
    <x v="1"/>
    <x v="0"/>
    <n v="22"/>
    <n v="1800"/>
    <n v="39600"/>
  </r>
  <r>
    <s v="ORD0010"/>
    <s v="24-Jan-2021"/>
    <x v="0"/>
    <x v="2"/>
    <x v="3"/>
    <x v="4"/>
    <n v="27"/>
    <n v="1342"/>
    <n v="36234"/>
  </r>
  <r>
    <s v="ORD0011"/>
    <s v="21-Feb-2021"/>
    <x v="1"/>
    <x v="3"/>
    <x v="3"/>
    <x v="3"/>
    <n v="32"/>
    <n v="1676"/>
    <n v="53632"/>
  </r>
  <r>
    <s v="ORD0012"/>
    <s v="06-Jul-2021"/>
    <x v="5"/>
    <x v="2"/>
    <x v="3"/>
    <x v="6"/>
    <n v="25"/>
    <n v="2908"/>
    <n v="72700"/>
  </r>
  <r>
    <s v="ORD0013"/>
    <s v="17-May-2021"/>
    <x v="6"/>
    <x v="1"/>
    <x v="1"/>
    <x v="7"/>
    <n v="11"/>
    <n v="2572"/>
    <n v="28292"/>
  </r>
  <r>
    <s v="ORD0014"/>
    <s v="06-May-2021"/>
    <x v="6"/>
    <x v="2"/>
    <x v="4"/>
    <x v="1"/>
    <n v="22"/>
    <n v="2693"/>
    <n v="59246"/>
  </r>
  <r>
    <s v="ORD0015"/>
    <s v="24-Nov-2021"/>
    <x v="2"/>
    <x v="2"/>
    <x v="2"/>
    <x v="6"/>
    <n v="13"/>
    <n v="3095"/>
    <n v="40235"/>
  </r>
  <r>
    <s v="ORD0016"/>
    <s v="29-Jan-2021"/>
    <x v="0"/>
    <x v="2"/>
    <x v="5"/>
    <x v="6"/>
    <n v="31"/>
    <n v="2773"/>
    <n v="85963"/>
  </r>
  <r>
    <s v="ORD0017"/>
    <s v="03-Feb-2021"/>
    <x v="1"/>
    <x v="2"/>
    <x v="1"/>
    <x v="6"/>
    <n v="17"/>
    <n v="1748"/>
    <n v="29716"/>
  </r>
  <r>
    <s v="ORD0018"/>
    <s v="13-Sep-2021"/>
    <x v="7"/>
    <x v="3"/>
    <x v="2"/>
    <x v="3"/>
    <n v="11"/>
    <n v="2542"/>
    <n v="27962"/>
  </r>
  <r>
    <s v="ORD0019"/>
    <s v="13-Mar-2021"/>
    <x v="3"/>
    <x v="2"/>
    <x v="2"/>
    <x v="5"/>
    <n v="9"/>
    <n v="1742"/>
    <n v="15678"/>
  </r>
  <r>
    <s v="ORD0020"/>
    <s v="08-Aug-2021"/>
    <x v="4"/>
    <x v="3"/>
    <x v="3"/>
    <x v="0"/>
    <n v="28"/>
    <n v="2397"/>
    <n v="67116"/>
  </r>
  <r>
    <s v="ORD0021"/>
    <s v="10-Sep-2021"/>
    <x v="7"/>
    <x v="1"/>
    <x v="5"/>
    <x v="4"/>
    <n v="9"/>
    <n v="2243"/>
    <n v="20187"/>
  </r>
  <r>
    <s v="ORD0022"/>
    <s v="23-Mar-2021"/>
    <x v="3"/>
    <x v="3"/>
    <x v="1"/>
    <x v="4"/>
    <n v="9"/>
    <n v="2485"/>
    <n v="22365"/>
  </r>
  <r>
    <s v="ORD0023"/>
    <s v="02-Nov-2021"/>
    <x v="2"/>
    <x v="3"/>
    <x v="1"/>
    <x v="5"/>
    <n v="17"/>
    <n v="1981"/>
    <n v="33677"/>
  </r>
  <r>
    <s v="ORD0024"/>
    <s v="06-Jan-2021"/>
    <x v="0"/>
    <x v="1"/>
    <x v="2"/>
    <x v="5"/>
    <n v="22"/>
    <n v="2962"/>
    <n v="65164"/>
  </r>
  <r>
    <s v="ORD0025"/>
    <s v="24-Jun-2021"/>
    <x v="8"/>
    <x v="1"/>
    <x v="3"/>
    <x v="1"/>
    <n v="29"/>
    <n v="2512"/>
    <n v="72848"/>
  </r>
  <r>
    <s v="ORD0026"/>
    <s v="02-Jan-2021"/>
    <x v="0"/>
    <x v="0"/>
    <x v="1"/>
    <x v="7"/>
    <n v="10"/>
    <n v="2129"/>
    <n v="21290"/>
  </r>
  <r>
    <s v="ORD0027"/>
    <s v="24-Feb-2021"/>
    <x v="1"/>
    <x v="0"/>
    <x v="2"/>
    <x v="0"/>
    <n v="21"/>
    <n v="3069"/>
    <n v="64449"/>
  </r>
  <r>
    <s v="ORD0028"/>
    <s v="24-Mar-2021"/>
    <x v="3"/>
    <x v="1"/>
    <x v="1"/>
    <x v="6"/>
    <n v="9"/>
    <n v="1965"/>
    <n v="17685"/>
  </r>
  <r>
    <s v="ORD0029"/>
    <s v="27-Feb-2021"/>
    <x v="1"/>
    <x v="0"/>
    <x v="3"/>
    <x v="0"/>
    <n v="20"/>
    <n v="1239"/>
    <n v="24780"/>
  </r>
  <r>
    <s v="ORD0030"/>
    <s v="18-Oct-2021"/>
    <x v="9"/>
    <x v="1"/>
    <x v="5"/>
    <x v="3"/>
    <n v="6"/>
    <n v="1693"/>
    <n v="10158"/>
  </r>
  <r>
    <s v="ORD0031"/>
    <s v="30-Sep-2021"/>
    <x v="7"/>
    <x v="2"/>
    <x v="0"/>
    <x v="3"/>
    <n v="31"/>
    <n v="1341"/>
    <n v="41571"/>
  </r>
  <r>
    <s v="ORD0032"/>
    <s v="26-Mar-2021"/>
    <x v="3"/>
    <x v="0"/>
    <x v="1"/>
    <x v="1"/>
    <n v="35"/>
    <n v="2325"/>
    <n v="81375"/>
  </r>
  <r>
    <s v="ORD0033"/>
    <s v="04-Oct-2021"/>
    <x v="9"/>
    <x v="2"/>
    <x v="2"/>
    <x v="5"/>
    <n v="35"/>
    <n v="1633"/>
    <n v="57155"/>
  </r>
  <r>
    <s v="ORD0034"/>
    <s v="29-Nov-2021"/>
    <x v="2"/>
    <x v="0"/>
    <x v="4"/>
    <x v="3"/>
    <n v="17"/>
    <n v="2575"/>
    <n v="43775"/>
  </r>
  <r>
    <s v="ORD0035"/>
    <s v="26-Apr-2021"/>
    <x v="10"/>
    <x v="1"/>
    <x v="3"/>
    <x v="2"/>
    <n v="8"/>
    <n v="1707"/>
    <n v="13656"/>
  </r>
  <r>
    <s v="ORD0036"/>
    <s v="28-Apr-2021"/>
    <x v="10"/>
    <x v="2"/>
    <x v="5"/>
    <x v="4"/>
    <n v="23"/>
    <n v="2334"/>
    <n v="53682"/>
  </r>
  <r>
    <s v="ORD0037"/>
    <s v="31-Jan-2021"/>
    <x v="0"/>
    <x v="2"/>
    <x v="5"/>
    <x v="2"/>
    <n v="27"/>
    <n v="2492"/>
    <n v="67284"/>
  </r>
  <r>
    <s v="ORD0038"/>
    <s v="06-Feb-2021"/>
    <x v="1"/>
    <x v="2"/>
    <x v="3"/>
    <x v="3"/>
    <n v="32"/>
    <n v="1876"/>
    <n v="60032"/>
  </r>
  <r>
    <s v="ORD0039"/>
    <s v="09-Mar-2021"/>
    <x v="3"/>
    <x v="3"/>
    <x v="0"/>
    <x v="3"/>
    <n v="11"/>
    <n v="2304"/>
    <n v="25344"/>
  </r>
  <r>
    <s v="ORD0040"/>
    <s v="08-Apr-2021"/>
    <x v="10"/>
    <x v="1"/>
    <x v="5"/>
    <x v="1"/>
    <n v="30"/>
    <n v="2033"/>
    <n v="60990"/>
  </r>
  <r>
    <s v="ORD0041"/>
    <s v="30-Jul-2021"/>
    <x v="5"/>
    <x v="3"/>
    <x v="2"/>
    <x v="2"/>
    <n v="16"/>
    <n v="2067"/>
    <n v="33072"/>
  </r>
  <r>
    <s v="ORD0042"/>
    <s v="27-Nov-2021"/>
    <x v="2"/>
    <x v="1"/>
    <x v="5"/>
    <x v="1"/>
    <n v="26"/>
    <n v="2538"/>
    <n v="65988"/>
  </r>
  <r>
    <s v="ORD0043"/>
    <s v="25-Feb-2021"/>
    <x v="1"/>
    <x v="2"/>
    <x v="0"/>
    <x v="0"/>
    <n v="28"/>
    <n v="1894"/>
    <n v="53032"/>
  </r>
  <r>
    <s v="ORD0044"/>
    <s v="13-Mar-2021"/>
    <x v="3"/>
    <x v="3"/>
    <x v="0"/>
    <x v="5"/>
    <n v="22"/>
    <n v="2118"/>
    <n v="46596"/>
  </r>
  <r>
    <s v="ORD0045"/>
    <s v="08-Feb-2021"/>
    <x v="1"/>
    <x v="3"/>
    <x v="1"/>
    <x v="4"/>
    <n v="19"/>
    <n v="1711"/>
    <n v="32509"/>
  </r>
  <r>
    <s v="ORD0046"/>
    <s v="04-Oct-2021"/>
    <x v="9"/>
    <x v="1"/>
    <x v="5"/>
    <x v="0"/>
    <n v="6"/>
    <n v="2535"/>
    <n v="15210"/>
  </r>
  <r>
    <s v="ORD0047"/>
    <s v="06-Sep-2021"/>
    <x v="7"/>
    <x v="3"/>
    <x v="0"/>
    <x v="1"/>
    <n v="10"/>
    <n v="2032"/>
    <n v="20320"/>
  </r>
  <r>
    <s v="ORD0048"/>
    <s v="26-Mar-2021"/>
    <x v="3"/>
    <x v="3"/>
    <x v="5"/>
    <x v="1"/>
    <n v="33"/>
    <n v="1320"/>
    <n v="43560"/>
  </r>
  <r>
    <s v="ORD0049"/>
    <s v="21-Aug-2021"/>
    <x v="4"/>
    <x v="0"/>
    <x v="4"/>
    <x v="3"/>
    <n v="13"/>
    <n v="3097"/>
    <n v="40261"/>
  </r>
  <r>
    <s v="ORD0050"/>
    <s v="01-Jun-2021"/>
    <x v="8"/>
    <x v="2"/>
    <x v="5"/>
    <x v="2"/>
    <n v="9"/>
    <n v="1588"/>
    <n v="14292"/>
  </r>
  <r>
    <s v="ORD0051"/>
    <s v="30-Jan-2021"/>
    <x v="0"/>
    <x v="1"/>
    <x v="1"/>
    <x v="3"/>
    <n v="28"/>
    <n v="1842"/>
    <n v="51576"/>
  </r>
  <r>
    <s v="ORD0052"/>
    <s v="29-Sep-2021"/>
    <x v="7"/>
    <x v="2"/>
    <x v="5"/>
    <x v="4"/>
    <n v="21"/>
    <n v="3082"/>
    <n v="64722"/>
  </r>
  <r>
    <s v="ORD0053"/>
    <s v="05-Feb-2021"/>
    <x v="1"/>
    <x v="1"/>
    <x v="2"/>
    <x v="0"/>
    <n v="32"/>
    <n v="1580"/>
    <n v="50560"/>
  </r>
  <r>
    <s v="ORD0054"/>
    <s v="19-Oct-2021"/>
    <x v="9"/>
    <x v="2"/>
    <x v="1"/>
    <x v="2"/>
    <n v="17"/>
    <n v="1445"/>
    <n v="24565"/>
  </r>
  <r>
    <s v="ORD0055"/>
    <s v="03-Aug-2021"/>
    <x v="4"/>
    <x v="0"/>
    <x v="3"/>
    <x v="0"/>
    <n v="24"/>
    <n v="1367"/>
    <n v="32808"/>
  </r>
  <r>
    <s v="ORD0056"/>
    <s v="10-Jun-2021"/>
    <x v="8"/>
    <x v="2"/>
    <x v="3"/>
    <x v="1"/>
    <n v="26"/>
    <n v="2666"/>
    <n v="69316"/>
  </r>
  <r>
    <s v="ORD0057"/>
    <s v="27-Nov-2021"/>
    <x v="2"/>
    <x v="0"/>
    <x v="4"/>
    <x v="6"/>
    <n v="9"/>
    <n v="2575"/>
    <n v="23175"/>
  </r>
  <r>
    <s v="ORD0058"/>
    <s v="07-Feb-2021"/>
    <x v="1"/>
    <x v="1"/>
    <x v="4"/>
    <x v="4"/>
    <n v="34"/>
    <n v="2739"/>
    <n v="93126"/>
  </r>
  <r>
    <s v="ORD0059"/>
    <s v="20-Apr-2021"/>
    <x v="10"/>
    <x v="0"/>
    <x v="0"/>
    <x v="6"/>
    <n v="7"/>
    <n v="2301"/>
    <n v="16107"/>
  </r>
  <r>
    <s v="ORD0060"/>
    <s v="06-May-2021"/>
    <x v="6"/>
    <x v="0"/>
    <x v="3"/>
    <x v="7"/>
    <n v="33"/>
    <n v="1340"/>
    <n v="44220"/>
  </r>
  <r>
    <s v="ORD0061"/>
    <s v="06-Oct-2021"/>
    <x v="9"/>
    <x v="0"/>
    <x v="1"/>
    <x v="2"/>
    <n v="19"/>
    <n v="2907"/>
    <n v="55233"/>
  </r>
  <r>
    <s v="ORD0062"/>
    <s v="11-Oct-2021"/>
    <x v="9"/>
    <x v="0"/>
    <x v="2"/>
    <x v="4"/>
    <n v="26"/>
    <n v="2873"/>
    <n v="74698"/>
  </r>
  <r>
    <s v="ORD0063"/>
    <s v="10-Mar-2021"/>
    <x v="3"/>
    <x v="0"/>
    <x v="5"/>
    <x v="4"/>
    <n v="35"/>
    <n v="2998"/>
    <n v="104930"/>
  </r>
  <r>
    <s v="ORD0064"/>
    <s v="21-Mar-2021"/>
    <x v="3"/>
    <x v="0"/>
    <x v="3"/>
    <x v="0"/>
    <n v="28"/>
    <n v="2333"/>
    <n v="65324"/>
  </r>
  <r>
    <s v="ORD0065"/>
    <s v="15-Apr-2021"/>
    <x v="10"/>
    <x v="0"/>
    <x v="1"/>
    <x v="3"/>
    <n v="27"/>
    <n v="1902"/>
    <n v="51354"/>
  </r>
  <r>
    <s v="ORD0066"/>
    <s v="27-Jan-2021"/>
    <x v="0"/>
    <x v="1"/>
    <x v="2"/>
    <x v="1"/>
    <n v="13"/>
    <n v="3054"/>
    <n v="39702"/>
  </r>
  <r>
    <s v="ORD0067"/>
    <s v="23-Jan-2021"/>
    <x v="0"/>
    <x v="1"/>
    <x v="3"/>
    <x v="7"/>
    <n v="31"/>
    <n v="1766"/>
    <n v="54746"/>
  </r>
  <r>
    <s v="ORD0068"/>
    <s v="24-Mar-2021"/>
    <x v="3"/>
    <x v="3"/>
    <x v="1"/>
    <x v="1"/>
    <n v="25"/>
    <n v="1736"/>
    <n v="43400"/>
  </r>
  <r>
    <s v="ORD0069"/>
    <s v="27-Feb-2021"/>
    <x v="1"/>
    <x v="1"/>
    <x v="2"/>
    <x v="7"/>
    <n v="22"/>
    <n v="1219"/>
    <n v="26818"/>
  </r>
  <r>
    <s v="ORD0070"/>
    <s v="09-Jul-2021"/>
    <x v="5"/>
    <x v="2"/>
    <x v="4"/>
    <x v="7"/>
    <n v="22"/>
    <n v="1273"/>
    <n v="28006"/>
  </r>
  <r>
    <s v="ORD0071"/>
    <s v="06-Jul-2021"/>
    <x v="5"/>
    <x v="1"/>
    <x v="3"/>
    <x v="0"/>
    <n v="6"/>
    <n v="1831"/>
    <n v="10986"/>
  </r>
  <r>
    <s v="ORD0072"/>
    <s v="08-Dec-2021"/>
    <x v="11"/>
    <x v="1"/>
    <x v="3"/>
    <x v="1"/>
    <n v="26"/>
    <n v="1711"/>
    <n v="44486"/>
  </r>
  <r>
    <s v="ORD0073"/>
    <s v="21-Mar-2021"/>
    <x v="3"/>
    <x v="2"/>
    <x v="0"/>
    <x v="7"/>
    <n v="24"/>
    <n v="2734"/>
    <n v="65616"/>
  </r>
  <r>
    <s v="ORD0074"/>
    <s v="13-Jan-2021"/>
    <x v="0"/>
    <x v="2"/>
    <x v="2"/>
    <x v="6"/>
    <n v="33"/>
    <n v="2044"/>
    <n v="67452"/>
  </r>
  <r>
    <s v="ORD0075"/>
    <s v="30-Jul-2021"/>
    <x v="5"/>
    <x v="2"/>
    <x v="3"/>
    <x v="7"/>
    <n v="30"/>
    <n v="3106"/>
    <n v="93180"/>
  </r>
  <r>
    <s v="ORD0076"/>
    <s v="25-Feb-2021"/>
    <x v="1"/>
    <x v="3"/>
    <x v="5"/>
    <x v="3"/>
    <n v="30"/>
    <n v="2636"/>
    <n v="79080"/>
  </r>
  <r>
    <s v="ORD0077"/>
    <s v="24-Aug-2021"/>
    <x v="4"/>
    <x v="0"/>
    <x v="3"/>
    <x v="0"/>
    <n v="12"/>
    <n v="1608"/>
    <n v="19296"/>
  </r>
  <r>
    <s v="ORD0078"/>
    <s v="04-Dec-2021"/>
    <x v="11"/>
    <x v="2"/>
    <x v="4"/>
    <x v="6"/>
    <n v="12"/>
    <n v="1248"/>
    <n v="14976"/>
  </r>
  <r>
    <s v="ORD0079"/>
    <s v="05-Feb-2021"/>
    <x v="1"/>
    <x v="0"/>
    <x v="3"/>
    <x v="1"/>
    <n v="13"/>
    <n v="2970"/>
    <n v="38610"/>
  </r>
  <r>
    <s v="ORD0080"/>
    <s v="17-Dec-2021"/>
    <x v="11"/>
    <x v="0"/>
    <x v="5"/>
    <x v="4"/>
    <n v="1"/>
    <n v="1"/>
    <n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name="PivotTable11" cacheId="0" applyNumberFormats="0" applyBorderFormats="0" applyFontFormats="0" applyPatternFormats="0" applyAlignmentFormats="0" applyWidthHeightFormats="1" dataCaption="Values" updatedVersion="4" minRefreshableVersion="3" useAutoFormatting="1" itemPrintTitles="1" createdVersion="4" indent="0" outline="1" outlineData="1" multipleFieldFilters="0" chartFormat="26">
  <location ref="W11:W12" firstHeaderRow="1" firstDataRow="1" firstDataCol="0"/>
  <pivotFields count="9">
    <pivotField showAll="0"/>
    <pivotField showAll="0"/>
    <pivotField showAll="0">
      <items count="13">
        <item x="0"/>
        <item x="1"/>
        <item x="3"/>
        <item x="10"/>
        <item x="6"/>
        <item x="8"/>
        <item x="5"/>
        <item x="4"/>
        <item x="7"/>
        <item x="9"/>
        <item x="2"/>
        <item x="11"/>
        <item t="default"/>
      </items>
    </pivotField>
    <pivotField showAll="0">
      <items count="5">
        <item x="1"/>
        <item x="2"/>
        <item x="0"/>
        <item x="3"/>
        <item t="default"/>
      </items>
    </pivotField>
    <pivotField showAll="0">
      <items count="7">
        <item x="5"/>
        <item x="0"/>
        <item x="3"/>
        <item x="4"/>
        <item x="1"/>
        <item x="2"/>
        <item t="default"/>
      </items>
    </pivotField>
    <pivotField showAll="0"/>
    <pivotField dataField="1" showAll="0"/>
    <pivotField showAll="0"/>
    <pivotField showAll="0" defaultSubtotal="0"/>
  </pivotFields>
  <rowItems count="1">
    <i/>
  </rowItems>
  <colItems count="1">
    <i/>
  </colItems>
  <dataFields count="1">
    <dataField name="Sum of Qty" fld="6"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2.xml><?xml version="1.0" encoding="utf-8"?>
<pivotTableDefinition xmlns="http://schemas.openxmlformats.org/spreadsheetml/2006/main" name="PivotTable3" cacheId="0" applyNumberFormats="0" applyBorderFormats="0" applyFontFormats="0" applyPatternFormats="0" applyAlignmentFormats="0" applyWidthHeightFormats="1" dataCaption="Values" updatedVersion="4" minRefreshableVersion="3" useAutoFormatting="1" itemPrintTitles="1" createdVersion="4" indent="0" outline="1" outlineData="1" multipleFieldFilters="0" chartFormat="24">
  <location ref="A12:B19" firstHeaderRow="1" firstDataRow="1" firstDataCol="1"/>
  <pivotFields count="9">
    <pivotField showAll="0"/>
    <pivotField showAll="0"/>
    <pivotField showAll="0">
      <items count="13">
        <item x="0"/>
        <item x="1"/>
        <item x="3"/>
        <item x="10"/>
        <item x="6"/>
        <item x="8"/>
        <item x="5"/>
        <item x="4"/>
        <item x="7"/>
        <item x="9"/>
        <item x="2"/>
        <item x="11"/>
        <item t="default"/>
      </items>
    </pivotField>
    <pivotField showAll="0">
      <items count="5">
        <item x="1"/>
        <item x="2"/>
        <item x="0"/>
        <item x="3"/>
        <item t="default"/>
      </items>
    </pivotField>
    <pivotField axis="axisRow" showAll="0">
      <items count="7">
        <item x="5"/>
        <item x="0"/>
        <item x="3"/>
        <item x="4"/>
        <item x="1"/>
        <item x="2"/>
        <item t="default"/>
      </items>
    </pivotField>
    <pivotField showAll="0"/>
    <pivotField dataField="1" showAll="0"/>
    <pivotField showAll="0"/>
    <pivotField showAll="0" defaultSubtotal="0"/>
  </pivotFields>
  <rowFields count="1">
    <field x="4"/>
  </rowFields>
  <rowItems count="7">
    <i>
      <x/>
    </i>
    <i>
      <x v="1"/>
    </i>
    <i>
      <x v="2"/>
    </i>
    <i>
      <x v="3"/>
    </i>
    <i>
      <x v="4"/>
    </i>
    <i>
      <x v="5"/>
    </i>
    <i t="grand">
      <x/>
    </i>
  </rowItems>
  <colItems count="1">
    <i/>
  </colItems>
  <dataFields count="1">
    <dataField name="Sum of Qty" fld="6" baseField="0" baseItem="0"/>
  </dataFields>
  <chartFormats count="7">
    <chartFormat chart="1" format="0" series="1">
      <pivotArea type="data" outline="0" fieldPosition="0">
        <references count="1">
          <reference field="4294967294" count="1" selected="0">
            <x v="0"/>
          </reference>
        </references>
      </pivotArea>
    </chartFormat>
    <chartFormat chart="2" format="1" series="1">
      <pivotArea type="data" outline="0" fieldPosition="0">
        <references count="1">
          <reference field="4294967294" count="1" selected="0">
            <x v="0"/>
          </reference>
        </references>
      </pivotArea>
    </chartFormat>
    <chartFormat chart="6" format="0" series="1">
      <pivotArea type="data" outline="0" fieldPosition="0">
        <references count="1">
          <reference field="4294967294" count="1" selected="0">
            <x v="0"/>
          </reference>
        </references>
      </pivotArea>
    </chartFormat>
    <chartFormat chart="18" format="10" series="1">
      <pivotArea type="data" outline="0" fieldPosition="0">
        <references count="1">
          <reference field="4294967294" count="1" selected="0">
            <x v="0"/>
          </reference>
        </references>
      </pivotArea>
    </chartFormat>
    <chartFormat chart="20" format="0" series="1">
      <pivotArea type="data" outline="0" fieldPosition="0">
        <references count="1">
          <reference field="4294967294" count="1" selected="0">
            <x v="0"/>
          </reference>
        </references>
      </pivotArea>
    </chartFormat>
    <chartFormat chart="21" format="1" series="1">
      <pivotArea type="data" outline="0" fieldPosition="0">
        <references count="1">
          <reference field="4294967294" count="1" selected="0">
            <x v="0"/>
          </reference>
        </references>
      </pivotArea>
    </chartFormat>
    <chartFormat chart="2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3.xml><?xml version="1.0" encoding="utf-8"?>
<pivotTableDefinition xmlns="http://schemas.openxmlformats.org/spreadsheetml/2006/main" name="PivotTable1" cacheId="0" applyNumberFormats="0" applyBorderFormats="0" applyFontFormats="0" applyPatternFormats="0" applyAlignmentFormats="0" applyWidthHeightFormats="1" dataCaption="Values" updatedVersion="4" minRefreshableVersion="3" useAutoFormatting="1" itemPrintTitles="1" createdVersion="4" indent="0" outline="1" outlineData="1" multipleFieldFilters="0" chartFormat="26">
  <location ref="A26:B35" firstHeaderRow="1" firstDataRow="1" firstDataCol="1"/>
  <pivotFields count="9">
    <pivotField showAll="0"/>
    <pivotField showAll="0"/>
    <pivotField showAll="0">
      <items count="13">
        <item x="0"/>
        <item x="1"/>
        <item x="3"/>
        <item x="10"/>
        <item x="6"/>
        <item x="8"/>
        <item x="5"/>
        <item x="4"/>
        <item x="7"/>
        <item x="9"/>
        <item x="2"/>
        <item x="11"/>
        <item t="default"/>
      </items>
    </pivotField>
    <pivotField showAll="0">
      <items count="5">
        <item x="1"/>
        <item x="2"/>
        <item x="0"/>
        <item x="3"/>
        <item t="default"/>
      </items>
    </pivotField>
    <pivotField showAll="0">
      <items count="7">
        <item x="5"/>
        <item x="0"/>
        <item x="3"/>
        <item x="4"/>
        <item x="1"/>
        <item x="2"/>
        <item t="default"/>
      </items>
    </pivotField>
    <pivotField axis="axisRow" showAll="0">
      <items count="9">
        <item x="6"/>
        <item x="2"/>
        <item x="0"/>
        <item x="7"/>
        <item x="5"/>
        <item x="4"/>
        <item x="1"/>
        <item x="3"/>
        <item t="default"/>
      </items>
    </pivotField>
    <pivotField showAll="0"/>
    <pivotField showAll="0"/>
    <pivotField dataField="1" showAll="0" defaultSubtotal="0"/>
  </pivotFields>
  <rowFields count="1">
    <field x="5"/>
  </rowFields>
  <rowItems count="9">
    <i>
      <x/>
    </i>
    <i>
      <x v="1"/>
    </i>
    <i>
      <x v="2"/>
    </i>
    <i>
      <x v="3"/>
    </i>
    <i>
      <x v="4"/>
    </i>
    <i>
      <x v="5"/>
    </i>
    <i>
      <x v="6"/>
    </i>
    <i>
      <x v="7"/>
    </i>
    <i t="grand">
      <x/>
    </i>
  </rowItems>
  <colItems count="1">
    <i/>
  </colItems>
  <dataFields count="1">
    <dataField name="Sum of Total Sales" fld="8" baseField="0" baseItem="0"/>
  </dataFields>
  <chartFormats count="1">
    <chartFormat chart="18" format="5"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4.xml><?xml version="1.0" encoding="utf-8"?>
<pivotTableDefinition xmlns="http://schemas.openxmlformats.org/spreadsheetml/2006/main" name="PivotTable8" cacheId="0" applyNumberFormats="0" applyBorderFormats="0" applyFontFormats="0" applyPatternFormats="0" applyAlignmentFormats="0" applyWidthHeightFormats="1" dataCaption="Values" updatedVersion="4" minRefreshableVersion="3" useAutoFormatting="1" itemPrintTitles="1" createdVersion="4" indent="0" outline="1" outlineData="1" multipleFieldFilters="0" chartFormat="26">
  <location ref="W6:W7" firstHeaderRow="1" firstDataRow="1" firstDataCol="0"/>
  <pivotFields count="9">
    <pivotField showAll="0"/>
    <pivotField showAll="0"/>
    <pivotField showAll="0">
      <items count="13">
        <item x="0"/>
        <item x="1"/>
        <item x="3"/>
        <item x="10"/>
        <item x="6"/>
        <item x="8"/>
        <item x="5"/>
        <item x="4"/>
        <item x="7"/>
        <item x="9"/>
        <item x="2"/>
        <item x="11"/>
        <item t="default"/>
      </items>
    </pivotField>
    <pivotField showAll="0">
      <items count="5">
        <item x="1"/>
        <item x="2"/>
        <item x="0"/>
        <item x="3"/>
        <item t="default"/>
      </items>
    </pivotField>
    <pivotField showAll="0">
      <items count="7">
        <item x="5"/>
        <item x="0"/>
        <item x="3"/>
        <item x="4"/>
        <item x="1"/>
        <item x="2"/>
        <item t="default"/>
      </items>
    </pivotField>
    <pivotField showAll="0"/>
    <pivotField showAll="0"/>
    <pivotField showAll="0"/>
    <pivotField dataField="1" showAll="0" defaultSubtotal="0"/>
  </pivotFields>
  <rowItems count="1">
    <i/>
  </rowItems>
  <colItems count="1">
    <i/>
  </colItems>
  <dataFields count="1">
    <dataField name="Sum of Total Sales" fld="8"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5.xml><?xml version="1.0" encoding="utf-8"?>
<pivotTableDefinition xmlns="http://schemas.openxmlformats.org/spreadsheetml/2006/main" name="PivotTable4" cacheId="0" applyNumberFormats="0" applyBorderFormats="0" applyFontFormats="0" applyPatternFormats="0" applyAlignmentFormats="0" applyWidthHeightFormats="1" dataCaption="Values" updatedVersion="4" minRefreshableVersion="3" useAutoFormatting="1" itemPrintTitles="1" createdVersion="4" indent="0" outline="1" outlineData="1" multipleFieldFilters="0" chartFormat="27">
  <location ref="O29:P33" firstHeaderRow="1" firstDataRow="1" firstDataCol="1"/>
  <pivotFields count="9">
    <pivotField showAll="0"/>
    <pivotField showAll="0"/>
    <pivotField showAll="0">
      <items count="13">
        <item x="0"/>
        <item x="1"/>
        <item x="3"/>
        <item x="10"/>
        <item x="6"/>
        <item x="8"/>
        <item x="5"/>
        <item x="4"/>
        <item x="7"/>
        <item x="9"/>
        <item x="2"/>
        <item x="11"/>
        <item t="default"/>
      </items>
    </pivotField>
    <pivotField showAll="0">
      <items count="5">
        <item x="1"/>
        <item x="2"/>
        <item x="0"/>
        <item x="3"/>
        <item t="default"/>
      </items>
    </pivotField>
    <pivotField showAll="0">
      <items count="7">
        <item x="5"/>
        <item x="0"/>
        <item x="3"/>
        <item x="4"/>
        <item x="1"/>
        <item x="2"/>
        <item t="default"/>
      </items>
    </pivotField>
    <pivotField axis="axisRow" showAll="0" measureFilter="1">
      <items count="9">
        <item x="6"/>
        <item x="2"/>
        <item x="0"/>
        <item x="7"/>
        <item x="5"/>
        <item x="4"/>
        <item x="1"/>
        <item x="3"/>
        <item t="default"/>
      </items>
    </pivotField>
    <pivotField showAll="0"/>
    <pivotField showAll="0"/>
    <pivotField dataField="1" showAll="0" defaultSubtotal="0"/>
  </pivotFields>
  <rowFields count="1">
    <field x="5"/>
  </rowFields>
  <rowItems count="4">
    <i>
      <x v="1"/>
    </i>
    <i>
      <x v="3"/>
    </i>
    <i>
      <x v="4"/>
    </i>
    <i t="grand">
      <x/>
    </i>
  </rowItems>
  <colItems count="1">
    <i/>
  </colItems>
  <dataFields count="1">
    <dataField name="Sum of Total Sales" fld="8" baseField="0" baseItem="0"/>
  </dataFields>
  <chartFormats count="1">
    <chartFormat chart="24" format="8"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5" type="count" evalOrder="-1" id="4" iMeasureFld="0">
      <autoFilter ref="A1">
        <filterColumn colId="0">
          <top10 top="0" val="3" filterVal="3"/>
        </filterColumn>
      </autoFilter>
    </filter>
  </filters>
  <extLst>
    <ext xmlns:x14="http://schemas.microsoft.com/office/spreadsheetml/2009/9/main" uri="{962EF5D1-5CA2-4c93-8EF4-DBF5C05439D2}">
      <x14:pivotTableDefinition xmlns:xm="http://schemas.microsoft.com/office/excel/2006/main" hideValuesRow="1"/>
    </ext>
  </extLst>
</pivotTableDefinition>
</file>

<file path=xl/pivotTables/pivotTable6.xml><?xml version="1.0" encoding="utf-8"?>
<pivotTableDefinition xmlns="http://schemas.openxmlformats.org/spreadsheetml/2006/main" name="PivotTable6" cacheId="0" applyNumberFormats="0" applyBorderFormats="0" applyFontFormats="0" applyPatternFormats="0" applyAlignmentFormats="0" applyWidthHeightFormats="1" dataCaption="Values" updatedVersion="4" minRefreshableVersion="3" useAutoFormatting="1" itemPrintTitles="1" createdVersion="4" indent="0" outline="1" outlineData="1" multipleFieldFilters="0" chartFormat="27">
  <location ref="H44:I49" firstHeaderRow="1" firstDataRow="1" firstDataCol="1"/>
  <pivotFields count="9">
    <pivotField showAll="0"/>
    <pivotField showAll="0"/>
    <pivotField showAll="0">
      <items count="13">
        <item x="0"/>
        <item x="1"/>
        <item x="3"/>
        <item x="10"/>
        <item x="6"/>
        <item x="8"/>
        <item x="5"/>
        <item x="4"/>
        <item x="7"/>
        <item x="9"/>
        <item x="2"/>
        <item x="11"/>
        <item t="default"/>
      </items>
    </pivotField>
    <pivotField axis="axisRow" showAll="0">
      <items count="5">
        <item x="1"/>
        <item x="2"/>
        <item x="0"/>
        <item x="3"/>
        <item t="default"/>
      </items>
    </pivotField>
    <pivotField showAll="0">
      <items count="7">
        <item x="5"/>
        <item x="0"/>
        <item x="3"/>
        <item x="4"/>
        <item x="1"/>
        <item x="2"/>
        <item t="default"/>
      </items>
    </pivotField>
    <pivotField showAll="0"/>
    <pivotField showAll="0"/>
    <pivotField showAll="0"/>
    <pivotField dataField="1" showAll="0" defaultSubtotal="0"/>
  </pivotFields>
  <rowFields count="1">
    <field x="3"/>
  </rowFields>
  <rowItems count="5">
    <i>
      <x/>
    </i>
    <i>
      <x v="1"/>
    </i>
    <i>
      <x v="2"/>
    </i>
    <i>
      <x v="3"/>
    </i>
    <i t="grand">
      <x/>
    </i>
  </rowItems>
  <colItems count="1">
    <i/>
  </colItems>
  <dataFields count="1">
    <dataField name="Sum of Total Sales" fld="8" baseField="0" baseItem="0"/>
  </dataFields>
  <chartFormats count="1">
    <chartFormat chart="22" format="3"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7.xml><?xml version="1.0" encoding="utf-8"?>
<pivotTableDefinition xmlns="http://schemas.openxmlformats.org/spreadsheetml/2006/main" name="PivotTable5" cacheId="0" applyNumberFormats="0" applyBorderFormats="0" applyFontFormats="0" applyPatternFormats="0" applyAlignmentFormats="0" applyWidthHeightFormats="1" dataCaption="Values" updatedVersion="4" minRefreshableVersion="3" useAutoFormatting="1" itemPrintTitles="1" createdVersion="4" indent="0" outline="1" outlineData="1" multipleFieldFilters="0" chartFormat="26">
  <location ref="A44:B51" firstHeaderRow="1" firstDataRow="1" firstDataCol="1"/>
  <pivotFields count="9">
    <pivotField showAll="0"/>
    <pivotField showAll="0"/>
    <pivotField showAll="0">
      <items count="13">
        <item x="0"/>
        <item x="1"/>
        <item x="3"/>
        <item x="10"/>
        <item x="6"/>
        <item x="8"/>
        <item x="5"/>
        <item x="4"/>
        <item x="7"/>
        <item x="9"/>
        <item x="2"/>
        <item x="11"/>
        <item t="default"/>
      </items>
    </pivotField>
    <pivotField showAll="0">
      <items count="5">
        <item x="1"/>
        <item x="2"/>
        <item x="0"/>
        <item x="3"/>
        <item t="default"/>
      </items>
    </pivotField>
    <pivotField axis="axisRow" showAll="0">
      <items count="7">
        <item x="5"/>
        <item x="0"/>
        <item x="3"/>
        <item x="4"/>
        <item x="1"/>
        <item x="2"/>
        <item t="default"/>
      </items>
    </pivotField>
    <pivotField showAll="0"/>
    <pivotField showAll="0"/>
    <pivotField showAll="0"/>
    <pivotField dataField="1" showAll="0" defaultSubtotal="0"/>
  </pivotFields>
  <rowFields count="1">
    <field x="4"/>
  </rowFields>
  <rowItems count="7">
    <i>
      <x/>
    </i>
    <i>
      <x v="1"/>
    </i>
    <i>
      <x v="2"/>
    </i>
    <i>
      <x v="3"/>
    </i>
    <i>
      <x v="4"/>
    </i>
    <i>
      <x v="5"/>
    </i>
    <i t="grand">
      <x/>
    </i>
  </rowItems>
  <colItems count="1">
    <i/>
  </colItems>
  <dataFields count="1">
    <dataField name="Sum of Total Sales" fld="8" baseField="0" baseItem="0"/>
  </dataFields>
  <chartFormats count="1">
    <chartFormat chart="19" format="3"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8.xml><?xml version="1.0" encoding="utf-8"?>
<pivotTableDefinition xmlns="http://schemas.openxmlformats.org/spreadsheetml/2006/main" name="PivotTable9" cacheId="0" applyNumberFormats="0" applyBorderFormats="0" applyFontFormats="0" applyPatternFormats="0" applyAlignmentFormats="0" applyWidthHeightFormats="1" dataCaption="Values" updatedVersion="4" minRefreshableVersion="3" useAutoFormatting="1" itemPrintTitles="1" createdVersion="4" indent="0" outline="1" outlineData="1" multipleFieldFilters="0" chartFormat="32">
  <location ref="O12:P16" firstHeaderRow="1" firstDataRow="1" firstDataCol="1"/>
  <pivotFields count="9">
    <pivotField showAll="0"/>
    <pivotField showAll="0"/>
    <pivotField showAll="0">
      <items count="13">
        <item x="0"/>
        <item x="1"/>
        <item x="3"/>
        <item x="10"/>
        <item x="6"/>
        <item x="8"/>
        <item x="5"/>
        <item x="4"/>
        <item x="7"/>
        <item x="9"/>
        <item x="2"/>
        <item x="11"/>
        <item t="default"/>
      </items>
    </pivotField>
    <pivotField showAll="0">
      <items count="5">
        <item x="1"/>
        <item x="2"/>
        <item x="0"/>
        <item x="3"/>
        <item t="default"/>
      </items>
    </pivotField>
    <pivotField axis="axisRow" showAll="0" measureFilter="1">
      <items count="7">
        <item x="5"/>
        <item x="0"/>
        <item x="3"/>
        <item x="4"/>
        <item x="1"/>
        <item x="2"/>
        <item t="default"/>
      </items>
    </pivotField>
    <pivotField showAll="0"/>
    <pivotField dataField="1" showAll="0"/>
    <pivotField showAll="0"/>
    <pivotField showAll="0" defaultSubtotal="0"/>
  </pivotFields>
  <rowFields count="1">
    <field x="4"/>
  </rowFields>
  <rowItems count="4">
    <i>
      <x v="1"/>
    </i>
    <i>
      <x v="3"/>
    </i>
    <i>
      <x v="4"/>
    </i>
    <i t="grand">
      <x/>
    </i>
  </rowItems>
  <colItems count="1">
    <i/>
  </colItems>
  <dataFields count="1">
    <dataField name="Sum of Qty" fld="6" baseField="0" baseItem="0"/>
  </dataFields>
  <chartFormats count="9">
    <chartFormat chart="0" format="2" series="1">
      <pivotArea type="data" outline="0" fieldPosition="0">
        <references count="1">
          <reference field="4294967294" count="1" selected="0">
            <x v="0"/>
          </reference>
        </references>
      </pivotArea>
    </chartFormat>
    <chartFormat chart="1" format="0" series="1">
      <pivotArea type="data" outline="0" fieldPosition="0">
        <references count="1">
          <reference field="4294967294" count="1" selected="0">
            <x v="0"/>
          </reference>
        </references>
      </pivotArea>
    </chartFormat>
    <chartFormat chart="2" format="1"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 chart="6" format="0" series="1">
      <pivotArea type="data" outline="0" fieldPosition="0">
        <references count="1">
          <reference field="4294967294" count="1" selected="0">
            <x v="0"/>
          </reference>
        </references>
      </pivotArea>
    </chartFormat>
    <chartFormat chart="9" format="1" series="1">
      <pivotArea type="data" outline="0" fieldPosition="0">
        <references count="1">
          <reference field="4294967294" count="1" selected="0">
            <x v="0"/>
          </reference>
        </references>
      </pivotArea>
    </chartFormat>
    <chartFormat chart="21" format="8" series="1">
      <pivotArea type="data" outline="0" fieldPosition="0">
        <references count="1">
          <reference field="4294967294" count="1" selected="0">
            <x v="0"/>
          </reference>
        </references>
      </pivotArea>
    </chartFormat>
    <chartFormat chart="24" format="1" series="1">
      <pivotArea type="data" outline="0" fieldPosition="0">
        <references count="1">
          <reference field="4294967294" count="1" selected="0">
            <x v="0"/>
          </reference>
        </references>
      </pivotArea>
    </chartFormat>
    <chartFormat chart="31"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4" type="count" evalOrder="-1" id="3" iMeasureFld="0">
      <autoFilter ref="A1">
        <filterColumn colId="0">
          <top10 top="0" val="3" filterVal="3"/>
        </filterColumn>
      </autoFilter>
    </filter>
  </filters>
  <extLst>
    <ext xmlns:x14="http://schemas.microsoft.com/office/spreadsheetml/2009/9/main" uri="{962EF5D1-5CA2-4c93-8EF4-DBF5C05439D2}">
      <x14:pivotTableDefinition xmlns:xm="http://schemas.microsoft.com/office/excel/2006/main" hideValuesRow="1"/>
    </ext>
  </extLst>
</pivotTableDefinition>
</file>

<file path=xl/pivotTables/pivotTable9.xml><?xml version="1.0" encoding="utf-8"?>
<pivotTableDefinition xmlns="http://schemas.openxmlformats.org/spreadsheetml/2006/main" name="PivotTable10" cacheId="0" applyNumberFormats="0" applyBorderFormats="0" applyFontFormats="0" applyPatternFormats="0" applyAlignmentFormats="0" applyWidthHeightFormats="1" dataCaption="Values" updatedVersion="4" minRefreshableVersion="3" useAutoFormatting="1" itemPrintTitles="1" createdVersion="4" indent="0" outline="1" outlineData="1" multipleFieldFilters="0" chartFormat="31">
  <location ref="H12:I16" firstHeaderRow="1" firstDataRow="1" firstDataCol="1"/>
  <pivotFields count="9">
    <pivotField showAll="0"/>
    <pivotField showAll="0"/>
    <pivotField showAll="0">
      <items count="13">
        <item x="0"/>
        <item x="1"/>
        <item x="3"/>
        <item x="10"/>
        <item x="6"/>
        <item x="8"/>
        <item x="5"/>
        <item x="4"/>
        <item x="7"/>
        <item x="9"/>
        <item x="2"/>
        <item x="11"/>
        <item t="default"/>
      </items>
    </pivotField>
    <pivotField showAll="0">
      <items count="5">
        <item x="1"/>
        <item x="2"/>
        <item x="0"/>
        <item x="3"/>
        <item t="default"/>
      </items>
    </pivotField>
    <pivotField axis="axisRow" showAll="0" measureFilter="1">
      <items count="7">
        <item x="5"/>
        <item x="0"/>
        <item x="3"/>
        <item x="4"/>
        <item x="1"/>
        <item x="2"/>
        <item t="default"/>
      </items>
    </pivotField>
    <pivotField showAll="0"/>
    <pivotField dataField="1" showAll="0"/>
    <pivotField showAll="0"/>
    <pivotField showAll="0" defaultSubtotal="0"/>
  </pivotFields>
  <rowFields count="1">
    <field x="4"/>
  </rowFields>
  <rowItems count="4">
    <i>
      <x/>
    </i>
    <i>
      <x v="2"/>
    </i>
    <i>
      <x v="5"/>
    </i>
    <i t="grand">
      <x/>
    </i>
  </rowItems>
  <colItems count="1">
    <i/>
  </colItems>
  <dataFields count="1">
    <dataField name="Sum of Qty" fld="6" baseField="0" baseItem="0"/>
  </dataFields>
  <chartFormats count="12">
    <chartFormat chart="0" format="2" series="1">
      <pivotArea type="data" outline="0" fieldPosition="0">
        <references count="1">
          <reference field="4294967294" count="1" selected="0">
            <x v="0"/>
          </reference>
        </references>
      </pivotArea>
    </chartFormat>
    <chartFormat chart="1" format="0" series="1">
      <pivotArea type="data" outline="0" fieldPosition="0">
        <references count="1">
          <reference field="4294967294" count="1" selected="0">
            <x v="0"/>
          </reference>
        </references>
      </pivotArea>
    </chartFormat>
    <chartFormat chart="2" format="1"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 chart="6" format="0" series="1">
      <pivotArea type="data" outline="0" fieldPosition="0">
        <references count="1">
          <reference field="4294967294" count="1" selected="0">
            <x v="0"/>
          </reference>
        </references>
      </pivotArea>
    </chartFormat>
    <chartFormat chart="8" format="0" series="1">
      <pivotArea type="data" outline="0" fieldPosition="0">
        <references count="1">
          <reference field="4294967294" count="1" selected="0">
            <x v="0"/>
          </reference>
        </references>
      </pivotArea>
    </chartFormat>
    <chartFormat chart="9" format="1" series="1">
      <pivotArea type="data" outline="0" fieldPosition="0">
        <references count="1">
          <reference field="4294967294" count="1" selected="0">
            <x v="0"/>
          </reference>
        </references>
      </pivotArea>
    </chartFormat>
    <chartFormat chart="13" format="2" series="1">
      <pivotArea type="data" outline="0" fieldPosition="0">
        <references count="1">
          <reference field="4294967294" count="1" selected="0">
            <x v="0"/>
          </reference>
        </references>
      </pivotArea>
    </chartFormat>
    <chartFormat chart="21" format="6" series="1">
      <pivotArea type="data" outline="0" fieldPosition="0">
        <references count="1">
          <reference field="4294967294" count="1" selected="0">
            <x v="0"/>
          </reference>
        </references>
      </pivotArea>
    </chartFormat>
    <chartFormat chart="23" format="1" series="1">
      <pivotArea type="data" outline="0" fieldPosition="0">
        <references count="1">
          <reference field="4294967294" count="1" selected="0">
            <x v="0"/>
          </reference>
        </references>
      </pivotArea>
    </chartFormat>
    <chartFormat chart="27" format="2" series="1">
      <pivotArea type="data" outline="0" fieldPosition="0">
        <references count="1">
          <reference field="4294967294" count="1" selected="0">
            <x v="0"/>
          </reference>
        </references>
      </pivotArea>
    </chartFormat>
    <chartFormat chart="30"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4" type="count" evalOrder="-1" id="4" iMeasureFld="0">
      <autoFilter ref="A1">
        <filterColumn colId="0">
          <top10 val="3" filterVal="3"/>
        </filterColumn>
      </autoFilter>
    </filter>
  </filters>
  <extLst>
    <ext xmlns:x14="http://schemas.microsoft.com/office/spreadsheetml/2009/9/main" uri="{962EF5D1-5CA2-4c93-8EF4-DBF5C05439D2}">
      <x14:pivotTableDefinition xmlns:xm="http://schemas.microsoft.com/office/excel/2006/main" hideValuesRow="1"/>
    </ext>
  </extLst>
</pivotTableDefinition>
</file>

<file path=xl/pivotTables/pivotTable10.xml><?xml version="1.0" encoding="utf-8"?>
<pivotTableDefinition xmlns="http://schemas.openxmlformats.org/spreadsheetml/2006/main" name="PivotTable7" cacheId="0" applyNumberFormats="0" applyBorderFormats="0" applyFontFormats="0" applyPatternFormats="0" applyAlignmentFormats="0" applyWidthHeightFormats="1" dataCaption="Values" updatedVersion="4" minRefreshableVersion="3" useAutoFormatting="1" itemPrintTitles="1" createdVersion="4" indent="0" outline="1" outlineData="1" multipleFieldFilters="0" chartFormat="30">
  <location ref="O44:P57" firstHeaderRow="1" firstDataRow="1" firstDataCol="1"/>
  <pivotFields count="9">
    <pivotField showAll="0"/>
    <pivotField showAll="0"/>
    <pivotField axis="axisRow" showAll="0">
      <items count="13">
        <item x="0"/>
        <item x="1"/>
        <item x="3"/>
        <item x="10"/>
        <item x="6"/>
        <item x="8"/>
        <item x="5"/>
        <item x="4"/>
        <item x="7"/>
        <item x="9"/>
        <item x="2"/>
        <item x="11"/>
        <item t="default"/>
      </items>
    </pivotField>
    <pivotField showAll="0">
      <items count="5">
        <item x="1"/>
        <item x="2"/>
        <item x="0"/>
        <item x="3"/>
        <item t="default"/>
      </items>
    </pivotField>
    <pivotField showAll="0">
      <items count="7">
        <item x="5"/>
        <item x="0"/>
        <item x="3"/>
        <item x="4"/>
        <item x="1"/>
        <item x="2"/>
        <item t="default"/>
      </items>
    </pivotField>
    <pivotField showAll="0"/>
    <pivotField showAll="0"/>
    <pivotField showAll="0"/>
    <pivotField dataField="1" showAll="0" defaultSubtotal="0"/>
  </pivotFields>
  <rowFields count="1">
    <field x="2"/>
  </rowFields>
  <rowItems count="13">
    <i>
      <x/>
    </i>
    <i>
      <x v="1"/>
    </i>
    <i>
      <x v="2"/>
    </i>
    <i>
      <x v="3"/>
    </i>
    <i>
      <x v="4"/>
    </i>
    <i>
      <x v="5"/>
    </i>
    <i>
      <x v="6"/>
    </i>
    <i>
      <x v="7"/>
    </i>
    <i>
      <x v="8"/>
    </i>
    <i>
      <x v="9"/>
    </i>
    <i>
      <x v="10"/>
    </i>
    <i>
      <x v="11"/>
    </i>
    <i t="grand">
      <x/>
    </i>
  </rowItems>
  <colItems count="1">
    <i/>
  </colItems>
  <dataFields count="1">
    <dataField name="Sum of Total Sales" fld="8" baseField="0" baseItem="0"/>
  </dataFields>
  <chartFormats count="1">
    <chartFormat chart="25" format="3"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11.xml><?xml version="1.0" encoding="utf-8"?>
<pivotTableDefinition xmlns="http://schemas.openxmlformats.org/spreadsheetml/2006/main" name="PivotTable2" cacheId="0" applyNumberFormats="0" applyBorderFormats="0" applyFontFormats="0" applyPatternFormats="0" applyAlignmentFormats="0" applyWidthHeightFormats="1" dataCaption="Values" updatedVersion="4" minRefreshableVersion="3" useAutoFormatting="1" itemPrintTitles="1" createdVersion="4" indent="0" outline="1" outlineData="1" multipleFieldFilters="0" chartFormat="27">
  <location ref="H29:I33" firstHeaderRow="1" firstDataRow="1" firstDataCol="1"/>
  <pivotFields count="9">
    <pivotField showAll="0"/>
    <pivotField showAll="0"/>
    <pivotField showAll="0">
      <items count="13">
        <item x="0"/>
        <item x="1"/>
        <item x="3"/>
        <item x="10"/>
        <item x="6"/>
        <item x="8"/>
        <item x="5"/>
        <item x="4"/>
        <item x="7"/>
        <item x="9"/>
        <item x="2"/>
        <item x="11"/>
        <item t="default"/>
      </items>
    </pivotField>
    <pivotField showAll="0">
      <items count="5">
        <item x="1"/>
        <item x="2"/>
        <item x="0"/>
        <item x="3"/>
        <item t="default"/>
      </items>
    </pivotField>
    <pivotField showAll="0">
      <items count="7">
        <item x="5"/>
        <item x="0"/>
        <item x="3"/>
        <item x="4"/>
        <item x="1"/>
        <item x="2"/>
        <item t="default"/>
      </items>
    </pivotField>
    <pivotField axis="axisRow" showAll="0" measureFilter="1">
      <items count="9">
        <item x="6"/>
        <item x="2"/>
        <item x="0"/>
        <item x="7"/>
        <item x="5"/>
        <item x="4"/>
        <item x="1"/>
        <item x="3"/>
        <item t="default"/>
      </items>
    </pivotField>
    <pivotField showAll="0"/>
    <pivotField showAll="0"/>
    <pivotField dataField="1" showAll="0" defaultSubtotal="0"/>
  </pivotFields>
  <rowFields count="1">
    <field x="5"/>
  </rowFields>
  <rowItems count="4">
    <i>
      <x v="5"/>
    </i>
    <i>
      <x v="6"/>
    </i>
    <i>
      <x v="7"/>
    </i>
    <i t="grand">
      <x/>
    </i>
  </rowItems>
  <colItems count="1">
    <i/>
  </colItems>
  <dataFields count="1">
    <dataField name="Sum of Total Sales" fld="8" baseField="0" baseItem="0"/>
  </dataFields>
  <chartFormats count="1">
    <chartFormat chart="24" format="9"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5" type="count" evalOrder="-1" id="3" iMeasureFld="0">
      <autoFilter ref="A1">
        <filterColumn colId="0">
          <top10 val="3" filterVal="3"/>
        </filterColumn>
      </autoFilter>
    </filter>
  </filters>
  <extLst>
    <ext xmlns:x14="http://schemas.microsoft.com/office/spreadsheetml/2009/9/main" uri="{962EF5D1-5CA2-4c93-8EF4-DBF5C05439D2}">
      <x14:pivotTableDefinition xmlns:xm="http://schemas.microsoft.com/office/excel/2006/main" hideValuesRow="1"/>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mc:Ignorable="x" name="Slicer_Month" sourceName="Month">
  <pivotTables>
    <pivotTable tabId="4" name="PivotTable3"/>
    <pivotTable tabId="4" name="PivotTable9"/>
    <pivotTable tabId="4" name="PivotTable10"/>
    <pivotTable tabId="4" name="PivotTable1"/>
    <pivotTable tabId="4" name="PivotTable2"/>
    <pivotTable tabId="4" name="PivotTable4"/>
    <pivotTable tabId="4" name="PivotTable5"/>
    <pivotTable tabId="4" name="PivotTable6"/>
    <pivotTable tabId="4" name="PivotTable7"/>
    <pivotTable tabId="4" name="PivotTable8"/>
    <pivotTable tabId="4" name="PivotTable11"/>
  </pivotTables>
  <data>
    <tabular pivotCacheId="1">
      <items count="12">
        <i x="0" s="1"/>
        <i x="1" s="1"/>
        <i x="3" s="1"/>
        <i x="10" s="1"/>
        <i x="6" s="1"/>
        <i x="8" s="1"/>
        <i x="5" s="1"/>
        <i x="4" s="1"/>
        <i x="7" s="1"/>
        <i x="9" s="1"/>
        <i x="2" s="1"/>
        <i x="1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mc:Ignorable="x" name="Slicer_Region" sourceName="Region">
  <pivotTables>
    <pivotTable tabId="4" name="PivotTable1"/>
    <pivotTable tabId="4" name="PivotTable10"/>
    <pivotTable tabId="4" name="PivotTable2"/>
    <pivotTable tabId="4" name="PivotTable3"/>
    <pivotTable tabId="4" name="PivotTable4"/>
    <pivotTable tabId="4" name="PivotTable5"/>
    <pivotTable tabId="4" name="PivotTable6"/>
    <pivotTable tabId="4" name="PivotTable7"/>
    <pivotTable tabId="4" name="PivotTable9"/>
    <pivotTable tabId="4" name="PivotTable8"/>
    <pivotTable tabId="4" name="PivotTable11"/>
  </pivotTables>
  <data>
    <tabular pivotCacheId="1">
      <items count="4">
        <i x="1" s="1"/>
        <i x="2" s="1"/>
        <i x="0" s="1"/>
        <i x="3"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mc:Ignorable="x" name="Slicer_Product" sourceName="Product">
  <pivotTables>
    <pivotTable tabId="4" name="PivotTable1"/>
    <pivotTable tabId="4" name="PivotTable10"/>
    <pivotTable tabId="4" name="PivotTable2"/>
    <pivotTable tabId="4" name="PivotTable3"/>
    <pivotTable tabId="4" name="PivotTable4"/>
    <pivotTable tabId="4" name="PivotTable5"/>
    <pivotTable tabId="4" name="PivotTable6"/>
    <pivotTable tabId="4" name="PivotTable7"/>
    <pivotTable tabId="4" name="PivotTable9"/>
    <pivotTable tabId="4" name="PivotTable8"/>
    <pivotTable tabId="4" name="PivotTable11"/>
  </pivotTables>
  <data>
    <tabular pivotCacheId="1">
      <items count="6">
        <i x="5" s="1"/>
        <i x="0" s="1"/>
        <i x="3" s="1"/>
        <i x="4" s="1"/>
        <i x="1" s="1"/>
        <i x="2"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mc:Ignorable="x">
  <slicer name="Month 1" cache="Slicer_Month" caption="Month" columnCount="12" style="SlicerStyleLight6" rowHeight="241300"/>
  <slicer name="Region 8" cache="Slicer_Region" caption="Region" columnCount="2" style="SlicerStyleLight6" rowHeight="241300"/>
  <slicer name="Product 6" cache="Slicer_Product" caption="Product" columnCount="6" style="SlicerStyleLight6" rowHeight="241300"/>
</slicers>
</file>

<file path=xl/slicers/slicer2.xml><?xml version="1.0" encoding="utf-8"?>
<slicers xmlns="http://schemas.microsoft.com/office/spreadsheetml/2009/9/main" xmlns:mc="http://schemas.openxmlformats.org/markup-compatibility/2006" xmlns:x="http://schemas.openxmlformats.org/spreadsheetml/2006/main" mc:Ignorable="x">
  <slicer name="Month 4" cache="Slicer_Month" caption="Month" columnCount="12" style="SlicerStyleLight6" rowHeight="241300"/>
  <slicer name="Region 9" cache="Slicer_Region" caption="Region" columnCount="2" style="SlicerStyleLight6" rowHeight="241300"/>
  <slicer name="Product 9" cache="Slicer_Product" caption="Product" columnCount="6" style="SlicerStyleLight6" rowHeight="241300"/>
</slicers>
</file>

<file path=xl/slicers/slicer3.xml><?xml version="1.0" encoding="utf-8"?>
<slicers xmlns="http://schemas.microsoft.com/office/spreadsheetml/2009/9/main" xmlns:mc="http://schemas.openxmlformats.org/markup-compatibility/2006" xmlns:x="http://schemas.openxmlformats.org/spreadsheetml/2006/main" mc:Ignorable="x">
  <slicer name="Month 3" cache="Slicer_Month" caption="Month" columnCount="12" style="SlicerStyleLight6" rowHeight="241300"/>
  <slicer name="Region 6" cache="Slicer_Region" caption="Region" columnCount="2" style="SlicerStyleLight6" rowHeight="241300"/>
  <slicer name="Product 7" cache="Slicer_Product" caption="Product" columnCount="6" style="SlicerStyleLight6" rowHeight="241300"/>
</slicers>
</file>

<file path=xl/slicers/slicer4.xml><?xml version="1.0" encoding="utf-8"?>
<slicers xmlns="http://schemas.microsoft.com/office/spreadsheetml/2009/9/main" xmlns:mc="http://schemas.openxmlformats.org/markup-compatibility/2006" xmlns:x="http://schemas.openxmlformats.org/spreadsheetml/2006/main" mc:Ignorable="x">
  <slicer name="Month" cache="Slicer_Month" caption="Month" columnCount="12" rowHeight="241300"/>
  <slicer name="Region 1" cache="Slicer_Region" caption="Region" columnCount="2" rowHeight="241300"/>
  <slicer name="Product" cache="Slicer_Product" caption="Product" columnCount="6" rowHeight="241300"/>
</slicers>
</file>

<file path=xl/tables/table1.xml><?xml version="1.0" encoding="utf-8"?>
<table xmlns="http://schemas.openxmlformats.org/spreadsheetml/2006/main" id="1" name="Table1" displayName="Table1" ref="A1:I81" totalsRowShown="0">
  <autoFilter ref="A1:I81"/>
  <tableColumns count="9">
    <tableColumn id="1" name="Order ID"/>
    <tableColumn id="2" name="Date"/>
    <tableColumn id="3" name="Month">
      <calculatedColumnFormula>TEXT(Table1[[#This Row],[Date]],"mmm")</calculatedColumnFormula>
    </tableColumn>
    <tableColumn id="4" name="Region"/>
    <tableColumn id="5" name="Product"/>
    <tableColumn id="6" name="Salesperson"/>
    <tableColumn id="7" name="Qty"/>
    <tableColumn id="8" name="Unit Price"/>
    <tableColumn id="9" name="Total Sales">
      <calculatedColumnFormula>G2*H2</calculatedColumnFormula>
    </tableColumn>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microsoft.com/office/2007/relationships/slicer" Target="../slicers/slicer3.xml"/><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drawing" Target="../drawings/drawing5.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rinterSettings" Target="../printerSettings/printerSettings4.bin"/><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microsoft.com/office/2007/relationships/slicer" Target="../slicers/slicer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81"/>
  <sheetViews>
    <sheetView workbookViewId="0">
      <selection activeCell="I1" sqref="I1"/>
    </sheetView>
  </sheetViews>
  <sheetFormatPr defaultRowHeight="15" x14ac:dyDescent="0.25"/>
  <cols>
    <col min="1" max="1" width="12" customWidth="1"/>
    <col min="2" max="2" width="15" customWidth="1"/>
    <col min="3" max="3" width="9.140625" customWidth="1"/>
    <col min="4" max="4" width="10" customWidth="1"/>
    <col min="5" max="5" width="12" customWidth="1"/>
    <col min="6" max="6" width="15" customWidth="1"/>
    <col min="7" max="7" width="7" customWidth="1"/>
    <col min="8" max="8" width="14" customWidth="1"/>
    <col min="9" max="9" width="15" customWidth="1"/>
  </cols>
  <sheetData>
    <row r="1" spans="1:13" x14ac:dyDescent="0.25">
      <c r="A1" t="s">
        <v>0</v>
      </c>
      <c r="B1" t="s">
        <v>1</v>
      </c>
      <c r="C1" t="s">
        <v>2</v>
      </c>
      <c r="D1" t="s">
        <v>3</v>
      </c>
      <c r="E1" t="s">
        <v>4</v>
      </c>
      <c r="F1" t="s">
        <v>5</v>
      </c>
      <c r="G1" t="s">
        <v>6</v>
      </c>
      <c r="H1" t="s">
        <v>7</v>
      </c>
      <c r="I1" t="s">
        <v>185</v>
      </c>
    </row>
    <row r="2" spans="1:13" x14ac:dyDescent="0.25">
      <c r="A2" t="s">
        <v>8</v>
      </c>
      <c r="B2" t="s">
        <v>9</v>
      </c>
      <c r="C2" t="str">
        <f>TEXT(Table1[[#This Row],[Date]],"mmm")</f>
        <v>Jan</v>
      </c>
      <c r="D2" t="s">
        <v>10</v>
      </c>
      <c r="E2" t="s">
        <v>11</v>
      </c>
      <c r="F2" t="s">
        <v>12</v>
      </c>
      <c r="G2">
        <v>25</v>
      </c>
      <c r="H2">
        <v>1428</v>
      </c>
      <c r="I2">
        <f>G2*H2</f>
        <v>35700</v>
      </c>
    </row>
    <row r="3" spans="1:13" x14ac:dyDescent="0.25">
      <c r="A3" t="s">
        <v>13</v>
      </c>
      <c r="B3" t="s">
        <v>14</v>
      </c>
      <c r="C3" t="str">
        <f>TEXT(Table1[[#This Row],[Date]],"mmm")</f>
        <v>Feb</v>
      </c>
      <c r="D3" t="s">
        <v>15</v>
      </c>
      <c r="E3" t="s">
        <v>16</v>
      </c>
      <c r="F3" t="s">
        <v>17</v>
      </c>
      <c r="G3">
        <v>9</v>
      </c>
      <c r="H3">
        <v>2708</v>
      </c>
      <c r="I3">
        <f t="shared" ref="I3:I66" si="0">G3*H3</f>
        <v>24372</v>
      </c>
    </row>
    <row r="4" spans="1:13" x14ac:dyDescent="0.25">
      <c r="A4" t="s">
        <v>18</v>
      </c>
      <c r="B4" t="s">
        <v>19</v>
      </c>
      <c r="C4" t="str">
        <f>TEXT(Table1[[#This Row],[Date]],"mmm")</f>
        <v>Feb</v>
      </c>
      <c r="D4" t="s">
        <v>20</v>
      </c>
      <c r="E4" t="s">
        <v>11</v>
      </c>
      <c r="F4" t="s">
        <v>21</v>
      </c>
      <c r="G4">
        <v>6</v>
      </c>
      <c r="H4">
        <v>1261</v>
      </c>
      <c r="I4">
        <f t="shared" si="0"/>
        <v>7566</v>
      </c>
    </row>
    <row r="5" spans="1:13" x14ac:dyDescent="0.25">
      <c r="A5" t="s">
        <v>22</v>
      </c>
      <c r="B5" t="s">
        <v>23</v>
      </c>
      <c r="C5" t="str">
        <f>TEXT(Table1[[#This Row],[Date]],"mmm")</f>
        <v>Nov</v>
      </c>
      <c r="D5" t="s">
        <v>24</v>
      </c>
      <c r="E5" t="s">
        <v>11</v>
      </c>
      <c r="F5" t="s">
        <v>25</v>
      </c>
      <c r="G5">
        <v>22</v>
      </c>
      <c r="H5">
        <v>1607</v>
      </c>
      <c r="I5">
        <f t="shared" si="0"/>
        <v>35354</v>
      </c>
    </row>
    <row r="6" spans="1:13" x14ac:dyDescent="0.25">
      <c r="A6" t="s">
        <v>26</v>
      </c>
      <c r="B6" t="s">
        <v>27</v>
      </c>
      <c r="C6" t="str">
        <f>TEXT(Table1[[#This Row],[Date]],"mmm")</f>
        <v>Jan</v>
      </c>
      <c r="D6" t="s">
        <v>20</v>
      </c>
      <c r="E6" t="s">
        <v>28</v>
      </c>
      <c r="F6" t="s">
        <v>17</v>
      </c>
      <c r="G6">
        <v>23</v>
      </c>
      <c r="H6">
        <v>1769</v>
      </c>
      <c r="I6">
        <f t="shared" si="0"/>
        <v>40687</v>
      </c>
    </row>
    <row r="7" spans="1:13" x14ac:dyDescent="0.25">
      <c r="A7" t="s">
        <v>29</v>
      </c>
      <c r="B7" t="s">
        <v>30</v>
      </c>
      <c r="C7" t="str">
        <f>TEXT(Table1[[#This Row],[Date]],"mmm")</f>
        <v>Mar</v>
      </c>
      <c r="D7" t="s">
        <v>20</v>
      </c>
      <c r="E7" t="s">
        <v>31</v>
      </c>
      <c r="F7" t="s">
        <v>32</v>
      </c>
      <c r="G7">
        <v>15</v>
      </c>
      <c r="H7">
        <v>1769</v>
      </c>
      <c r="I7">
        <f t="shared" si="0"/>
        <v>26535</v>
      </c>
      <c r="K7">
        <f>SUMIF(C:C,"oct",G:G)</f>
        <v>109</v>
      </c>
    </row>
    <row r="8" spans="1:13" x14ac:dyDescent="0.25">
      <c r="A8" t="s">
        <v>33</v>
      </c>
      <c r="B8" t="s">
        <v>34</v>
      </c>
      <c r="C8" t="str">
        <f>TEXT(Table1[[#This Row],[Date]],"mmm")</f>
        <v>Feb</v>
      </c>
      <c r="D8" t="s">
        <v>10</v>
      </c>
      <c r="E8" t="s">
        <v>31</v>
      </c>
      <c r="F8" t="s">
        <v>35</v>
      </c>
      <c r="G8">
        <v>7</v>
      </c>
      <c r="H8">
        <v>1978</v>
      </c>
      <c r="I8">
        <f t="shared" si="0"/>
        <v>13846</v>
      </c>
    </row>
    <row r="9" spans="1:13" x14ac:dyDescent="0.25">
      <c r="A9" t="s">
        <v>36</v>
      </c>
      <c r="B9" t="s">
        <v>37</v>
      </c>
      <c r="C9" t="str">
        <f>TEXT(Table1[[#This Row],[Date]],"mmm")</f>
        <v>Aug</v>
      </c>
      <c r="D9" t="s">
        <v>15</v>
      </c>
      <c r="E9" t="s">
        <v>38</v>
      </c>
      <c r="F9" t="s">
        <v>32</v>
      </c>
      <c r="G9">
        <v>30</v>
      </c>
      <c r="H9">
        <v>1288</v>
      </c>
      <c r="I9">
        <f t="shared" si="0"/>
        <v>38640</v>
      </c>
      <c r="M9">
        <f>-IF(Raw_Data!D:D="West"&amp;Raw_Data!E:E="Scanner",SUM(Raw_Data!G:G))</f>
        <v>0</v>
      </c>
    </row>
    <row r="10" spans="1:13" x14ac:dyDescent="0.25">
      <c r="A10" t="s">
        <v>39</v>
      </c>
      <c r="B10" t="s">
        <v>40</v>
      </c>
      <c r="C10" t="str">
        <f>TEXT(Table1[[#This Row],[Date]],"mmm")</f>
        <v>Nov</v>
      </c>
      <c r="D10" t="s">
        <v>10</v>
      </c>
      <c r="E10" t="s">
        <v>16</v>
      </c>
      <c r="F10" t="s">
        <v>12</v>
      </c>
      <c r="G10">
        <v>22</v>
      </c>
      <c r="H10">
        <v>1800</v>
      </c>
      <c r="I10">
        <f t="shared" si="0"/>
        <v>39600</v>
      </c>
    </row>
    <row r="11" spans="1:13" x14ac:dyDescent="0.25">
      <c r="A11" t="s">
        <v>41</v>
      </c>
      <c r="B11" t="s">
        <v>42</v>
      </c>
      <c r="C11" t="str">
        <f>TEXT(Table1[[#This Row],[Date]],"mmm")</f>
        <v>Jan</v>
      </c>
      <c r="D11" t="s">
        <v>20</v>
      </c>
      <c r="E11" t="s">
        <v>31</v>
      </c>
      <c r="F11" t="s">
        <v>32</v>
      </c>
      <c r="G11">
        <v>27</v>
      </c>
      <c r="H11">
        <v>1342</v>
      </c>
      <c r="I11">
        <f t="shared" si="0"/>
        <v>36234</v>
      </c>
    </row>
    <row r="12" spans="1:13" x14ac:dyDescent="0.25">
      <c r="A12" t="s">
        <v>43</v>
      </c>
      <c r="B12" t="s">
        <v>44</v>
      </c>
      <c r="C12" t="str">
        <f>TEXT(Table1[[#This Row],[Date]],"mmm")</f>
        <v>Feb</v>
      </c>
      <c r="D12" t="s">
        <v>24</v>
      </c>
      <c r="E12" t="s">
        <v>31</v>
      </c>
      <c r="F12" t="s">
        <v>25</v>
      </c>
      <c r="G12">
        <v>32</v>
      </c>
      <c r="H12">
        <v>1676</v>
      </c>
      <c r="I12">
        <f t="shared" si="0"/>
        <v>53632</v>
      </c>
      <c r="K12">
        <f>SUMIFS(Raw_Data!G:G, Raw_Data!D:D, "West", Raw_Data!E:E, "Scanner")</f>
        <v>70</v>
      </c>
    </row>
    <row r="13" spans="1:13" x14ac:dyDescent="0.25">
      <c r="A13" t="s">
        <v>45</v>
      </c>
      <c r="B13" t="s">
        <v>46</v>
      </c>
      <c r="C13" t="str">
        <f>TEXT(Table1[[#This Row],[Date]],"mmm")</f>
        <v>Jul</v>
      </c>
      <c r="D13" t="s">
        <v>20</v>
      </c>
      <c r="E13" t="s">
        <v>31</v>
      </c>
      <c r="F13" t="s">
        <v>47</v>
      </c>
      <c r="G13">
        <v>25</v>
      </c>
      <c r="H13">
        <v>2908</v>
      </c>
      <c r="I13">
        <f t="shared" si="0"/>
        <v>72700</v>
      </c>
    </row>
    <row r="14" spans="1:13" x14ac:dyDescent="0.25">
      <c r="A14" t="s">
        <v>48</v>
      </c>
      <c r="B14" t="s">
        <v>49</v>
      </c>
      <c r="C14" t="str">
        <f>TEXT(Table1[[#This Row],[Date]],"mmm")</f>
        <v>May</v>
      </c>
      <c r="D14" t="s">
        <v>15</v>
      </c>
      <c r="E14" t="s">
        <v>16</v>
      </c>
      <c r="F14" t="s">
        <v>50</v>
      </c>
      <c r="G14">
        <v>11</v>
      </c>
      <c r="H14">
        <v>2572</v>
      </c>
      <c r="I14">
        <f t="shared" si="0"/>
        <v>28292</v>
      </c>
    </row>
    <row r="15" spans="1:13" x14ac:dyDescent="0.25">
      <c r="A15" t="s">
        <v>51</v>
      </c>
      <c r="B15" t="s">
        <v>52</v>
      </c>
      <c r="C15" t="str">
        <f>TEXT(Table1[[#This Row],[Date]],"mmm")</f>
        <v>May</v>
      </c>
      <c r="D15" t="s">
        <v>20</v>
      </c>
      <c r="E15" t="s">
        <v>38</v>
      </c>
      <c r="F15" t="s">
        <v>17</v>
      </c>
      <c r="G15">
        <v>22</v>
      </c>
      <c r="H15">
        <v>2693</v>
      </c>
      <c r="I15">
        <f t="shared" si="0"/>
        <v>59246</v>
      </c>
    </row>
    <row r="16" spans="1:13" x14ac:dyDescent="0.25">
      <c r="A16" t="s">
        <v>53</v>
      </c>
      <c r="B16" t="s">
        <v>54</v>
      </c>
      <c r="C16" t="str">
        <f>TEXT(Table1[[#This Row],[Date]],"mmm")</f>
        <v>Nov</v>
      </c>
      <c r="D16" t="s">
        <v>20</v>
      </c>
      <c r="E16" t="s">
        <v>28</v>
      </c>
      <c r="F16" t="s">
        <v>47</v>
      </c>
      <c r="G16">
        <v>13</v>
      </c>
      <c r="H16">
        <v>3095</v>
      </c>
      <c r="I16">
        <f t="shared" si="0"/>
        <v>40235</v>
      </c>
    </row>
    <row r="17" spans="1:9" x14ac:dyDescent="0.25">
      <c r="A17" t="s">
        <v>55</v>
      </c>
      <c r="B17" t="s">
        <v>56</v>
      </c>
      <c r="C17" t="str">
        <f>TEXT(Table1[[#This Row],[Date]],"mmm")</f>
        <v>Jan</v>
      </c>
      <c r="D17" t="s">
        <v>20</v>
      </c>
      <c r="E17" t="s">
        <v>57</v>
      </c>
      <c r="F17" t="s">
        <v>47</v>
      </c>
      <c r="G17">
        <v>31</v>
      </c>
      <c r="H17">
        <v>2773</v>
      </c>
      <c r="I17">
        <f t="shared" si="0"/>
        <v>85963</v>
      </c>
    </row>
    <row r="18" spans="1:9" x14ac:dyDescent="0.25">
      <c r="A18" t="s">
        <v>58</v>
      </c>
      <c r="B18" t="s">
        <v>59</v>
      </c>
      <c r="C18" t="str">
        <f>TEXT(Table1[[#This Row],[Date]],"mmm")</f>
        <v>Feb</v>
      </c>
      <c r="D18" t="s">
        <v>20</v>
      </c>
      <c r="E18" t="s">
        <v>16</v>
      </c>
      <c r="F18" t="s">
        <v>47</v>
      </c>
      <c r="G18">
        <v>17</v>
      </c>
      <c r="H18">
        <v>1748</v>
      </c>
      <c r="I18">
        <f t="shared" si="0"/>
        <v>29716</v>
      </c>
    </row>
    <row r="19" spans="1:9" x14ac:dyDescent="0.25">
      <c r="A19" t="s">
        <v>60</v>
      </c>
      <c r="B19" t="s">
        <v>61</v>
      </c>
      <c r="C19" t="str">
        <f>TEXT(Table1[[#This Row],[Date]],"mmm")</f>
        <v>Sep</v>
      </c>
      <c r="D19" t="s">
        <v>24</v>
      </c>
      <c r="E19" t="s">
        <v>28</v>
      </c>
      <c r="F19" t="s">
        <v>25</v>
      </c>
      <c r="G19">
        <v>11</v>
      </c>
      <c r="H19">
        <v>2542</v>
      </c>
      <c r="I19">
        <f t="shared" si="0"/>
        <v>27962</v>
      </c>
    </row>
    <row r="20" spans="1:9" x14ac:dyDescent="0.25">
      <c r="A20" t="s">
        <v>62</v>
      </c>
      <c r="B20" t="s">
        <v>63</v>
      </c>
      <c r="C20" t="str">
        <f>TEXT(Table1[[#This Row],[Date]],"mmm")</f>
        <v>Mar</v>
      </c>
      <c r="D20" t="s">
        <v>20</v>
      </c>
      <c r="E20" t="s">
        <v>28</v>
      </c>
      <c r="F20" t="s">
        <v>35</v>
      </c>
      <c r="G20">
        <v>9</v>
      </c>
      <c r="H20">
        <v>1742</v>
      </c>
      <c r="I20">
        <f t="shared" si="0"/>
        <v>15678</v>
      </c>
    </row>
    <row r="21" spans="1:9" x14ac:dyDescent="0.25">
      <c r="A21" t="s">
        <v>64</v>
      </c>
      <c r="B21" t="s">
        <v>65</v>
      </c>
      <c r="C21" t="str">
        <f>TEXT(Table1[[#This Row],[Date]],"mmm")</f>
        <v>Aug</v>
      </c>
      <c r="D21" t="s">
        <v>24</v>
      </c>
      <c r="E21" t="s">
        <v>31</v>
      </c>
      <c r="F21" t="s">
        <v>12</v>
      </c>
      <c r="G21">
        <v>28</v>
      </c>
      <c r="H21">
        <v>2397</v>
      </c>
      <c r="I21">
        <f t="shared" si="0"/>
        <v>67116</v>
      </c>
    </row>
    <row r="22" spans="1:9" x14ac:dyDescent="0.25">
      <c r="A22" t="s">
        <v>66</v>
      </c>
      <c r="B22" t="s">
        <v>67</v>
      </c>
      <c r="C22" t="str">
        <f>TEXT(Table1[[#This Row],[Date]],"mmm")</f>
        <v>Sep</v>
      </c>
      <c r="D22" t="s">
        <v>15</v>
      </c>
      <c r="E22" t="s">
        <v>57</v>
      </c>
      <c r="F22" t="s">
        <v>32</v>
      </c>
      <c r="G22">
        <v>9</v>
      </c>
      <c r="H22">
        <v>2243</v>
      </c>
      <c r="I22">
        <f t="shared" si="0"/>
        <v>20187</v>
      </c>
    </row>
    <row r="23" spans="1:9" x14ac:dyDescent="0.25">
      <c r="A23" t="s">
        <v>68</v>
      </c>
      <c r="B23" t="s">
        <v>69</v>
      </c>
      <c r="C23" t="str">
        <f>TEXT(Table1[[#This Row],[Date]],"mmm")</f>
        <v>Mar</v>
      </c>
      <c r="D23" t="s">
        <v>24</v>
      </c>
      <c r="E23" t="s">
        <v>16</v>
      </c>
      <c r="F23" t="s">
        <v>32</v>
      </c>
      <c r="G23">
        <v>9</v>
      </c>
      <c r="H23">
        <v>2485</v>
      </c>
      <c r="I23">
        <f t="shared" si="0"/>
        <v>22365</v>
      </c>
    </row>
    <row r="24" spans="1:9" x14ac:dyDescent="0.25">
      <c r="A24" t="s">
        <v>70</v>
      </c>
      <c r="B24" t="s">
        <v>71</v>
      </c>
      <c r="C24" t="str">
        <f>TEXT(Table1[[#This Row],[Date]],"mmm")</f>
        <v>Nov</v>
      </c>
      <c r="D24" t="s">
        <v>24</v>
      </c>
      <c r="E24" t="s">
        <v>16</v>
      </c>
      <c r="F24" t="s">
        <v>35</v>
      </c>
      <c r="G24">
        <v>17</v>
      </c>
      <c r="H24">
        <v>1981</v>
      </c>
      <c r="I24">
        <f t="shared" si="0"/>
        <v>33677</v>
      </c>
    </row>
    <row r="25" spans="1:9" x14ac:dyDescent="0.25">
      <c r="A25" t="s">
        <v>72</v>
      </c>
      <c r="B25" t="s">
        <v>73</v>
      </c>
      <c r="C25" t="str">
        <f>TEXT(Table1[[#This Row],[Date]],"mmm")</f>
        <v>Jan</v>
      </c>
      <c r="D25" t="s">
        <v>15</v>
      </c>
      <c r="E25" t="s">
        <v>28</v>
      </c>
      <c r="F25" t="s">
        <v>35</v>
      </c>
      <c r="G25">
        <v>22</v>
      </c>
      <c r="H25">
        <v>2962</v>
      </c>
      <c r="I25">
        <f t="shared" si="0"/>
        <v>65164</v>
      </c>
    </row>
    <row r="26" spans="1:9" x14ac:dyDescent="0.25">
      <c r="A26" t="s">
        <v>74</v>
      </c>
      <c r="B26" t="s">
        <v>75</v>
      </c>
      <c r="C26" t="str">
        <f>TEXT(Table1[[#This Row],[Date]],"mmm")</f>
        <v>Jun</v>
      </c>
      <c r="D26" t="s">
        <v>15</v>
      </c>
      <c r="E26" t="s">
        <v>31</v>
      </c>
      <c r="F26" t="s">
        <v>17</v>
      </c>
      <c r="G26">
        <v>29</v>
      </c>
      <c r="H26">
        <v>2512</v>
      </c>
      <c r="I26">
        <f t="shared" si="0"/>
        <v>72848</v>
      </c>
    </row>
    <row r="27" spans="1:9" x14ac:dyDescent="0.25">
      <c r="A27" t="s">
        <v>76</v>
      </c>
      <c r="B27" t="s">
        <v>77</v>
      </c>
      <c r="C27" t="str">
        <f>TEXT(Table1[[#This Row],[Date]],"mmm")</f>
        <v>Jan</v>
      </c>
      <c r="D27" t="s">
        <v>10</v>
      </c>
      <c r="E27" t="s">
        <v>16</v>
      </c>
      <c r="F27" t="s">
        <v>50</v>
      </c>
      <c r="G27">
        <v>10</v>
      </c>
      <c r="H27">
        <v>2129</v>
      </c>
      <c r="I27">
        <f t="shared" si="0"/>
        <v>21290</v>
      </c>
    </row>
    <row r="28" spans="1:9" x14ac:dyDescent="0.25">
      <c r="A28" t="s">
        <v>78</v>
      </c>
      <c r="B28" t="s">
        <v>79</v>
      </c>
      <c r="C28" t="str">
        <f>TEXT(Table1[[#This Row],[Date]],"mmm")</f>
        <v>Feb</v>
      </c>
      <c r="D28" t="s">
        <v>10</v>
      </c>
      <c r="E28" t="s">
        <v>28</v>
      </c>
      <c r="F28" t="s">
        <v>12</v>
      </c>
      <c r="G28">
        <v>21</v>
      </c>
      <c r="H28">
        <v>3069</v>
      </c>
      <c r="I28">
        <f t="shared" si="0"/>
        <v>64449</v>
      </c>
    </row>
    <row r="29" spans="1:9" x14ac:dyDescent="0.25">
      <c r="A29" t="s">
        <v>80</v>
      </c>
      <c r="B29" t="s">
        <v>81</v>
      </c>
      <c r="C29" t="str">
        <f>TEXT(Table1[[#This Row],[Date]],"mmm")</f>
        <v>Mar</v>
      </c>
      <c r="D29" t="s">
        <v>15</v>
      </c>
      <c r="E29" t="s">
        <v>16</v>
      </c>
      <c r="F29" t="s">
        <v>47</v>
      </c>
      <c r="G29">
        <v>9</v>
      </c>
      <c r="H29">
        <v>1965</v>
      </c>
      <c r="I29">
        <f t="shared" si="0"/>
        <v>17685</v>
      </c>
    </row>
    <row r="30" spans="1:9" x14ac:dyDescent="0.25">
      <c r="A30" t="s">
        <v>82</v>
      </c>
      <c r="B30" t="s">
        <v>83</v>
      </c>
      <c r="C30" t="str">
        <f>TEXT(Table1[[#This Row],[Date]],"mmm")</f>
        <v>Feb</v>
      </c>
      <c r="D30" t="s">
        <v>10</v>
      </c>
      <c r="E30" t="s">
        <v>31</v>
      </c>
      <c r="F30" t="s">
        <v>12</v>
      </c>
      <c r="G30">
        <v>20</v>
      </c>
      <c r="H30">
        <v>1239</v>
      </c>
      <c r="I30">
        <f t="shared" si="0"/>
        <v>24780</v>
      </c>
    </row>
    <row r="31" spans="1:9" x14ac:dyDescent="0.25">
      <c r="A31" t="s">
        <v>84</v>
      </c>
      <c r="B31" t="s">
        <v>85</v>
      </c>
      <c r="C31" t="str">
        <f>TEXT(Table1[[#This Row],[Date]],"mmm")</f>
        <v>Oct</v>
      </c>
      <c r="D31" t="s">
        <v>15</v>
      </c>
      <c r="E31" t="s">
        <v>57</v>
      </c>
      <c r="F31" t="s">
        <v>25</v>
      </c>
      <c r="G31">
        <v>6</v>
      </c>
      <c r="H31">
        <v>1693</v>
      </c>
      <c r="I31">
        <f t="shared" si="0"/>
        <v>10158</v>
      </c>
    </row>
    <row r="32" spans="1:9" x14ac:dyDescent="0.25">
      <c r="A32" t="s">
        <v>86</v>
      </c>
      <c r="B32" t="s">
        <v>87</v>
      </c>
      <c r="C32" t="str">
        <f>TEXT(Table1[[#This Row],[Date]],"mmm")</f>
        <v>Sep</v>
      </c>
      <c r="D32" t="s">
        <v>20</v>
      </c>
      <c r="E32" t="s">
        <v>11</v>
      </c>
      <c r="F32" t="s">
        <v>25</v>
      </c>
      <c r="G32">
        <v>31</v>
      </c>
      <c r="H32">
        <v>1341</v>
      </c>
      <c r="I32">
        <f t="shared" si="0"/>
        <v>41571</v>
      </c>
    </row>
    <row r="33" spans="1:9" x14ac:dyDescent="0.25">
      <c r="A33" t="s">
        <v>88</v>
      </c>
      <c r="B33" t="s">
        <v>89</v>
      </c>
      <c r="C33" t="str">
        <f>TEXT(Table1[[#This Row],[Date]],"mmm")</f>
        <v>Mar</v>
      </c>
      <c r="D33" t="s">
        <v>10</v>
      </c>
      <c r="E33" t="s">
        <v>16</v>
      </c>
      <c r="F33" t="s">
        <v>17</v>
      </c>
      <c r="G33">
        <v>35</v>
      </c>
      <c r="H33">
        <v>2325</v>
      </c>
      <c r="I33">
        <f t="shared" si="0"/>
        <v>81375</v>
      </c>
    </row>
    <row r="34" spans="1:9" x14ac:dyDescent="0.25">
      <c r="A34" t="s">
        <v>90</v>
      </c>
      <c r="B34" t="s">
        <v>91</v>
      </c>
      <c r="C34" t="str">
        <f>TEXT(Table1[[#This Row],[Date]],"mmm")</f>
        <v>Oct</v>
      </c>
      <c r="D34" t="s">
        <v>20</v>
      </c>
      <c r="E34" t="s">
        <v>28</v>
      </c>
      <c r="F34" t="s">
        <v>35</v>
      </c>
      <c r="G34">
        <v>35</v>
      </c>
      <c r="H34">
        <v>1633</v>
      </c>
      <c r="I34">
        <f t="shared" si="0"/>
        <v>57155</v>
      </c>
    </row>
    <row r="35" spans="1:9" x14ac:dyDescent="0.25">
      <c r="A35" t="s">
        <v>92</v>
      </c>
      <c r="B35" t="s">
        <v>23</v>
      </c>
      <c r="C35" t="str">
        <f>TEXT(Table1[[#This Row],[Date]],"mmm")</f>
        <v>Nov</v>
      </c>
      <c r="D35" t="s">
        <v>10</v>
      </c>
      <c r="E35" t="s">
        <v>38</v>
      </c>
      <c r="F35" t="s">
        <v>25</v>
      </c>
      <c r="G35">
        <v>17</v>
      </c>
      <c r="H35">
        <v>2575</v>
      </c>
      <c r="I35">
        <f t="shared" si="0"/>
        <v>43775</v>
      </c>
    </row>
    <row r="36" spans="1:9" x14ac:dyDescent="0.25">
      <c r="A36" t="s">
        <v>93</v>
      </c>
      <c r="B36" t="s">
        <v>94</v>
      </c>
      <c r="C36" t="str">
        <f>TEXT(Table1[[#This Row],[Date]],"mmm")</f>
        <v>Apr</v>
      </c>
      <c r="D36" t="s">
        <v>15</v>
      </c>
      <c r="E36" t="s">
        <v>31</v>
      </c>
      <c r="F36" t="s">
        <v>21</v>
      </c>
      <c r="G36">
        <v>8</v>
      </c>
      <c r="H36">
        <v>1707</v>
      </c>
      <c r="I36">
        <f t="shared" si="0"/>
        <v>13656</v>
      </c>
    </row>
    <row r="37" spans="1:9" x14ac:dyDescent="0.25">
      <c r="A37" t="s">
        <v>95</v>
      </c>
      <c r="B37" t="s">
        <v>96</v>
      </c>
      <c r="C37" t="str">
        <f>TEXT(Table1[[#This Row],[Date]],"mmm")</f>
        <v>Apr</v>
      </c>
      <c r="D37" t="s">
        <v>20</v>
      </c>
      <c r="E37" t="s">
        <v>57</v>
      </c>
      <c r="F37" t="s">
        <v>32</v>
      </c>
      <c r="G37">
        <v>23</v>
      </c>
      <c r="H37">
        <v>2334</v>
      </c>
      <c r="I37">
        <f t="shared" si="0"/>
        <v>53682</v>
      </c>
    </row>
    <row r="38" spans="1:9" x14ac:dyDescent="0.25">
      <c r="A38" t="s">
        <v>97</v>
      </c>
      <c r="B38" t="s">
        <v>98</v>
      </c>
      <c r="C38" t="str">
        <f>TEXT(Table1[[#This Row],[Date]],"mmm")</f>
        <v>Jan</v>
      </c>
      <c r="D38" t="s">
        <v>20</v>
      </c>
      <c r="E38" t="s">
        <v>57</v>
      </c>
      <c r="F38" t="s">
        <v>21</v>
      </c>
      <c r="G38">
        <v>27</v>
      </c>
      <c r="H38">
        <v>2492</v>
      </c>
      <c r="I38">
        <f t="shared" si="0"/>
        <v>67284</v>
      </c>
    </row>
    <row r="39" spans="1:9" x14ac:dyDescent="0.25">
      <c r="A39" t="s">
        <v>99</v>
      </c>
      <c r="B39" t="s">
        <v>100</v>
      </c>
      <c r="C39" t="str">
        <f>TEXT(Table1[[#This Row],[Date]],"mmm")</f>
        <v>Feb</v>
      </c>
      <c r="D39" t="s">
        <v>20</v>
      </c>
      <c r="E39" t="s">
        <v>31</v>
      </c>
      <c r="F39" t="s">
        <v>25</v>
      </c>
      <c r="G39">
        <v>32</v>
      </c>
      <c r="H39">
        <v>1876</v>
      </c>
      <c r="I39">
        <f t="shared" si="0"/>
        <v>60032</v>
      </c>
    </row>
    <row r="40" spans="1:9" x14ac:dyDescent="0.25">
      <c r="A40" t="s">
        <v>101</v>
      </c>
      <c r="B40" t="s">
        <v>102</v>
      </c>
      <c r="C40" t="str">
        <f>TEXT(Table1[[#This Row],[Date]],"mmm")</f>
        <v>Mar</v>
      </c>
      <c r="D40" t="s">
        <v>24</v>
      </c>
      <c r="E40" t="s">
        <v>11</v>
      </c>
      <c r="F40" t="s">
        <v>25</v>
      </c>
      <c r="G40">
        <v>11</v>
      </c>
      <c r="H40">
        <v>2304</v>
      </c>
      <c r="I40">
        <f t="shared" si="0"/>
        <v>25344</v>
      </c>
    </row>
    <row r="41" spans="1:9" x14ac:dyDescent="0.25">
      <c r="A41" t="s">
        <v>103</v>
      </c>
      <c r="B41" t="s">
        <v>104</v>
      </c>
      <c r="C41" t="str">
        <f>TEXT(Table1[[#This Row],[Date]],"mmm")</f>
        <v>Apr</v>
      </c>
      <c r="D41" t="s">
        <v>15</v>
      </c>
      <c r="E41" t="s">
        <v>57</v>
      </c>
      <c r="F41" t="s">
        <v>17</v>
      </c>
      <c r="G41">
        <v>30</v>
      </c>
      <c r="H41">
        <v>2033</v>
      </c>
      <c r="I41">
        <f t="shared" si="0"/>
        <v>60990</v>
      </c>
    </row>
    <row r="42" spans="1:9" x14ac:dyDescent="0.25">
      <c r="A42" t="s">
        <v>105</v>
      </c>
      <c r="B42" t="s">
        <v>106</v>
      </c>
      <c r="C42" t="str">
        <f>TEXT(Table1[[#This Row],[Date]],"mmm")</f>
        <v>Jul</v>
      </c>
      <c r="D42" t="s">
        <v>24</v>
      </c>
      <c r="E42" t="s">
        <v>28</v>
      </c>
      <c r="F42" t="s">
        <v>21</v>
      </c>
      <c r="G42">
        <v>16</v>
      </c>
      <c r="H42">
        <v>2067</v>
      </c>
      <c r="I42">
        <f t="shared" si="0"/>
        <v>33072</v>
      </c>
    </row>
    <row r="43" spans="1:9" x14ac:dyDescent="0.25">
      <c r="A43" t="s">
        <v>107</v>
      </c>
      <c r="B43" t="s">
        <v>108</v>
      </c>
      <c r="C43" t="str">
        <f>TEXT(Table1[[#This Row],[Date]],"mmm")</f>
        <v>Nov</v>
      </c>
      <c r="D43" t="s">
        <v>15</v>
      </c>
      <c r="E43" t="s">
        <v>57</v>
      </c>
      <c r="F43" t="s">
        <v>17</v>
      </c>
      <c r="G43">
        <v>26</v>
      </c>
      <c r="H43">
        <v>2538</v>
      </c>
      <c r="I43">
        <f t="shared" si="0"/>
        <v>65988</v>
      </c>
    </row>
    <row r="44" spans="1:9" x14ac:dyDescent="0.25">
      <c r="A44" t="s">
        <v>109</v>
      </c>
      <c r="B44" t="s">
        <v>110</v>
      </c>
      <c r="C44" t="str">
        <f>TEXT(Table1[[#This Row],[Date]],"mmm")</f>
        <v>Feb</v>
      </c>
      <c r="D44" t="s">
        <v>20</v>
      </c>
      <c r="E44" t="s">
        <v>11</v>
      </c>
      <c r="F44" t="s">
        <v>12</v>
      </c>
      <c r="G44">
        <v>28</v>
      </c>
      <c r="H44">
        <v>1894</v>
      </c>
      <c r="I44">
        <f t="shared" si="0"/>
        <v>53032</v>
      </c>
    </row>
    <row r="45" spans="1:9" x14ac:dyDescent="0.25">
      <c r="A45" t="s">
        <v>111</v>
      </c>
      <c r="B45" t="s">
        <v>63</v>
      </c>
      <c r="C45" t="str">
        <f>TEXT(Table1[[#This Row],[Date]],"mmm")</f>
        <v>Mar</v>
      </c>
      <c r="D45" t="s">
        <v>24</v>
      </c>
      <c r="E45" t="s">
        <v>11</v>
      </c>
      <c r="F45" t="s">
        <v>35</v>
      </c>
      <c r="G45">
        <v>22</v>
      </c>
      <c r="H45">
        <v>2118</v>
      </c>
      <c r="I45">
        <f t="shared" si="0"/>
        <v>46596</v>
      </c>
    </row>
    <row r="46" spans="1:9" x14ac:dyDescent="0.25">
      <c r="A46" t="s">
        <v>112</v>
      </c>
      <c r="B46" t="s">
        <v>113</v>
      </c>
      <c r="C46" t="str">
        <f>TEXT(Table1[[#This Row],[Date]],"mmm")</f>
        <v>Feb</v>
      </c>
      <c r="D46" t="s">
        <v>24</v>
      </c>
      <c r="E46" t="s">
        <v>16</v>
      </c>
      <c r="F46" t="s">
        <v>32</v>
      </c>
      <c r="G46">
        <v>19</v>
      </c>
      <c r="H46">
        <v>1711</v>
      </c>
      <c r="I46">
        <f t="shared" si="0"/>
        <v>32509</v>
      </c>
    </row>
    <row r="47" spans="1:9" x14ac:dyDescent="0.25">
      <c r="A47" t="s">
        <v>114</v>
      </c>
      <c r="B47" t="s">
        <v>91</v>
      </c>
      <c r="C47" t="str">
        <f>TEXT(Table1[[#This Row],[Date]],"mmm")</f>
        <v>Oct</v>
      </c>
      <c r="D47" t="s">
        <v>15</v>
      </c>
      <c r="E47" t="s">
        <v>57</v>
      </c>
      <c r="F47" t="s">
        <v>12</v>
      </c>
      <c r="G47">
        <v>6</v>
      </c>
      <c r="H47">
        <v>2535</v>
      </c>
      <c r="I47">
        <f t="shared" si="0"/>
        <v>15210</v>
      </c>
    </row>
    <row r="48" spans="1:9" x14ac:dyDescent="0.25">
      <c r="A48" t="s">
        <v>115</v>
      </c>
      <c r="B48" t="s">
        <v>116</v>
      </c>
      <c r="C48" t="str">
        <f>TEXT(Table1[[#This Row],[Date]],"mmm")</f>
        <v>Sep</v>
      </c>
      <c r="D48" t="s">
        <v>24</v>
      </c>
      <c r="E48" t="s">
        <v>11</v>
      </c>
      <c r="F48" t="s">
        <v>17</v>
      </c>
      <c r="G48">
        <v>10</v>
      </c>
      <c r="H48">
        <v>2032</v>
      </c>
      <c r="I48">
        <f t="shared" si="0"/>
        <v>20320</v>
      </c>
    </row>
    <row r="49" spans="1:9" x14ac:dyDescent="0.25">
      <c r="A49" t="s">
        <v>117</v>
      </c>
      <c r="B49" t="s">
        <v>89</v>
      </c>
      <c r="C49" t="str">
        <f>TEXT(Table1[[#This Row],[Date]],"mmm")</f>
        <v>Mar</v>
      </c>
      <c r="D49" t="s">
        <v>24</v>
      </c>
      <c r="E49" t="s">
        <v>57</v>
      </c>
      <c r="F49" t="s">
        <v>17</v>
      </c>
      <c r="G49">
        <v>33</v>
      </c>
      <c r="H49">
        <v>1320</v>
      </c>
      <c r="I49">
        <f t="shared" si="0"/>
        <v>43560</v>
      </c>
    </row>
    <row r="50" spans="1:9" x14ac:dyDescent="0.25">
      <c r="A50" t="s">
        <v>118</v>
      </c>
      <c r="B50" t="s">
        <v>119</v>
      </c>
      <c r="C50" t="str">
        <f>TEXT(Table1[[#This Row],[Date]],"mmm")</f>
        <v>Aug</v>
      </c>
      <c r="D50" t="s">
        <v>10</v>
      </c>
      <c r="E50" t="s">
        <v>38</v>
      </c>
      <c r="F50" t="s">
        <v>25</v>
      </c>
      <c r="G50">
        <v>13</v>
      </c>
      <c r="H50">
        <v>3097</v>
      </c>
      <c r="I50">
        <f t="shared" si="0"/>
        <v>40261</v>
      </c>
    </row>
    <row r="51" spans="1:9" x14ac:dyDescent="0.25">
      <c r="A51" t="s">
        <v>120</v>
      </c>
      <c r="B51" t="s">
        <v>121</v>
      </c>
      <c r="C51" t="str">
        <f>TEXT(Table1[[#This Row],[Date]],"mmm")</f>
        <v>Jun</v>
      </c>
      <c r="D51" t="s">
        <v>20</v>
      </c>
      <c r="E51" t="s">
        <v>57</v>
      </c>
      <c r="F51" t="s">
        <v>21</v>
      </c>
      <c r="G51">
        <v>9</v>
      </c>
      <c r="H51">
        <v>1588</v>
      </c>
      <c r="I51">
        <f t="shared" si="0"/>
        <v>14292</v>
      </c>
    </row>
    <row r="52" spans="1:9" x14ac:dyDescent="0.25">
      <c r="A52" t="s">
        <v>122</v>
      </c>
      <c r="B52" t="s">
        <v>123</v>
      </c>
      <c r="C52" t="str">
        <f>TEXT(Table1[[#This Row],[Date]],"mmm")</f>
        <v>Jan</v>
      </c>
      <c r="D52" t="s">
        <v>15</v>
      </c>
      <c r="E52" t="s">
        <v>16</v>
      </c>
      <c r="F52" t="s">
        <v>25</v>
      </c>
      <c r="G52">
        <v>28</v>
      </c>
      <c r="H52">
        <v>1842</v>
      </c>
      <c r="I52">
        <f t="shared" si="0"/>
        <v>51576</v>
      </c>
    </row>
    <row r="53" spans="1:9" x14ac:dyDescent="0.25">
      <c r="A53" t="s">
        <v>124</v>
      </c>
      <c r="B53" t="s">
        <v>125</v>
      </c>
      <c r="C53" t="str">
        <f>TEXT(Table1[[#This Row],[Date]],"mmm")</f>
        <v>Sep</v>
      </c>
      <c r="D53" t="s">
        <v>20</v>
      </c>
      <c r="E53" t="s">
        <v>57</v>
      </c>
      <c r="F53" t="s">
        <v>32</v>
      </c>
      <c r="G53">
        <v>21</v>
      </c>
      <c r="H53">
        <v>3082</v>
      </c>
      <c r="I53">
        <f t="shared" si="0"/>
        <v>64722</v>
      </c>
    </row>
    <row r="54" spans="1:9" x14ac:dyDescent="0.25">
      <c r="A54" t="s">
        <v>126</v>
      </c>
      <c r="B54" t="s">
        <v>127</v>
      </c>
      <c r="C54" t="str">
        <f>TEXT(Table1[[#This Row],[Date]],"mmm")</f>
        <v>Feb</v>
      </c>
      <c r="D54" t="s">
        <v>15</v>
      </c>
      <c r="E54" t="s">
        <v>28</v>
      </c>
      <c r="F54" t="s">
        <v>12</v>
      </c>
      <c r="G54">
        <v>32</v>
      </c>
      <c r="H54">
        <v>1580</v>
      </c>
      <c r="I54">
        <f t="shared" si="0"/>
        <v>50560</v>
      </c>
    </row>
    <row r="55" spans="1:9" x14ac:dyDescent="0.25">
      <c r="A55" t="s">
        <v>128</v>
      </c>
      <c r="B55" t="s">
        <v>129</v>
      </c>
      <c r="C55" t="str">
        <f>TEXT(Table1[[#This Row],[Date]],"mmm")</f>
        <v>Oct</v>
      </c>
      <c r="D55" t="s">
        <v>20</v>
      </c>
      <c r="E55" t="s">
        <v>16</v>
      </c>
      <c r="F55" t="s">
        <v>21</v>
      </c>
      <c r="G55">
        <v>17</v>
      </c>
      <c r="H55">
        <v>1445</v>
      </c>
      <c r="I55">
        <f t="shared" si="0"/>
        <v>24565</v>
      </c>
    </row>
    <row r="56" spans="1:9" x14ac:dyDescent="0.25">
      <c r="A56" t="s">
        <v>130</v>
      </c>
      <c r="B56" t="s">
        <v>131</v>
      </c>
      <c r="C56" t="str">
        <f>TEXT(Table1[[#This Row],[Date]],"mmm")</f>
        <v>Aug</v>
      </c>
      <c r="D56" t="s">
        <v>10</v>
      </c>
      <c r="E56" t="s">
        <v>31</v>
      </c>
      <c r="F56" t="s">
        <v>12</v>
      </c>
      <c r="G56">
        <v>24</v>
      </c>
      <c r="H56">
        <v>1367</v>
      </c>
      <c r="I56">
        <f t="shared" si="0"/>
        <v>32808</v>
      </c>
    </row>
    <row r="57" spans="1:9" x14ac:dyDescent="0.25">
      <c r="A57" t="s">
        <v>132</v>
      </c>
      <c r="B57" t="s">
        <v>133</v>
      </c>
      <c r="C57" t="str">
        <f>TEXT(Table1[[#This Row],[Date]],"mmm")</f>
        <v>Jun</v>
      </c>
      <c r="D57" t="s">
        <v>20</v>
      </c>
      <c r="E57" t="s">
        <v>31</v>
      </c>
      <c r="F57" t="s">
        <v>17</v>
      </c>
      <c r="G57">
        <v>26</v>
      </c>
      <c r="H57">
        <v>2666</v>
      </c>
      <c r="I57">
        <f t="shared" si="0"/>
        <v>69316</v>
      </c>
    </row>
    <row r="58" spans="1:9" x14ac:dyDescent="0.25">
      <c r="A58" t="s">
        <v>134</v>
      </c>
      <c r="B58" t="s">
        <v>108</v>
      </c>
      <c r="C58" t="str">
        <f>TEXT(Table1[[#This Row],[Date]],"mmm")</f>
        <v>Nov</v>
      </c>
      <c r="D58" t="s">
        <v>10</v>
      </c>
      <c r="E58" t="s">
        <v>38</v>
      </c>
      <c r="F58" t="s">
        <v>47</v>
      </c>
      <c r="G58">
        <v>9</v>
      </c>
      <c r="H58">
        <v>2575</v>
      </c>
      <c r="I58">
        <f t="shared" si="0"/>
        <v>23175</v>
      </c>
    </row>
    <row r="59" spans="1:9" x14ac:dyDescent="0.25">
      <c r="A59" t="s">
        <v>135</v>
      </c>
      <c r="B59" t="s">
        <v>136</v>
      </c>
      <c r="C59" t="str">
        <f>TEXT(Table1[[#This Row],[Date]],"mmm")</f>
        <v>Feb</v>
      </c>
      <c r="D59" t="s">
        <v>15</v>
      </c>
      <c r="E59" t="s">
        <v>38</v>
      </c>
      <c r="F59" t="s">
        <v>32</v>
      </c>
      <c r="G59">
        <v>34</v>
      </c>
      <c r="H59">
        <v>2739</v>
      </c>
      <c r="I59">
        <f t="shared" si="0"/>
        <v>93126</v>
      </c>
    </row>
    <row r="60" spans="1:9" x14ac:dyDescent="0.25">
      <c r="A60" t="s">
        <v>137</v>
      </c>
      <c r="B60" t="s">
        <v>138</v>
      </c>
      <c r="C60" t="str">
        <f>TEXT(Table1[[#This Row],[Date]],"mmm")</f>
        <v>Apr</v>
      </c>
      <c r="D60" t="s">
        <v>10</v>
      </c>
      <c r="E60" t="s">
        <v>11</v>
      </c>
      <c r="F60" t="s">
        <v>47</v>
      </c>
      <c r="G60">
        <v>7</v>
      </c>
      <c r="H60">
        <v>2301</v>
      </c>
      <c r="I60">
        <f t="shared" si="0"/>
        <v>16107</v>
      </c>
    </row>
    <row r="61" spans="1:9" x14ac:dyDescent="0.25">
      <c r="A61" t="s">
        <v>139</v>
      </c>
      <c r="B61" t="s">
        <v>52</v>
      </c>
      <c r="C61" t="str">
        <f>TEXT(Table1[[#This Row],[Date]],"mmm")</f>
        <v>May</v>
      </c>
      <c r="D61" t="s">
        <v>10</v>
      </c>
      <c r="E61" t="s">
        <v>31</v>
      </c>
      <c r="F61" t="s">
        <v>50</v>
      </c>
      <c r="G61">
        <v>33</v>
      </c>
      <c r="H61">
        <v>1340</v>
      </c>
      <c r="I61">
        <f t="shared" si="0"/>
        <v>44220</v>
      </c>
    </row>
    <row r="62" spans="1:9" x14ac:dyDescent="0.25">
      <c r="A62" t="s">
        <v>140</v>
      </c>
      <c r="B62" t="s">
        <v>141</v>
      </c>
      <c r="C62" t="str">
        <f>TEXT(Table1[[#This Row],[Date]],"mmm")</f>
        <v>Oct</v>
      </c>
      <c r="D62" t="s">
        <v>10</v>
      </c>
      <c r="E62" t="s">
        <v>16</v>
      </c>
      <c r="F62" t="s">
        <v>21</v>
      </c>
      <c r="G62">
        <v>19</v>
      </c>
      <c r="H62">
        <v>2907</v>
      </c>
      <c r="I62">
        <f t="shared" si="0"/>
        <v>55233</v>
      </c>
    </row>
    <row r="63" spans="1:9" x14ac:dyDescent="0.25">
      <c r="A63" t="s">
        <v>142</v>
      </c>
      <c r="B63" t="s">
        <v>143</v>
      </c>
      <c r="C63" t="str">
        <f>TEXT(Table1[[#This Row],[Date]],"mmm")</f>
        <v>Oct</v>
      </c>
      <c r="D63" t="s">
        <v>10</v>
      </c>
      <c r="E63" t="s">
        <v>28</v>
      </c>
      <c r="F63" t="s">
        <v>32</v>
      </c>
      <c r="G63">
        <v>26</v>
      </c>
      <c r="H63">
        <v>2873</v>
      </c>
      <c r="I63">
        <f t="shared" si="0"/>
        <v>74698</v>
      </c>
    </row>
    <row r="64" spans="1:9" x14ac:dyDescent="0.25">
      <c r="A64" t="s">
        <v>144</v>
      </c>
      <c r="B64" t="s">
        <v>145</v>
      </c>
      <c r="C64" t="str">
        <f>TEXT(Table1[[#This Row],[Date]],"mmm")</f>
        <v>Mar</v>
      </c>
      <c r="D64" t="s">
        <v>10</v>
      </c>
      <c r="E64" t="s">
        <v>57</v>
      </c>
      <c r="F64" t="s">
        <v>32</v>
      </c>
      <c r="G64">
        <v>35</v>
      </c>
      <c r="H64">
        <v>2998</v>
      </c>
      <c r="I64">
        <f t="shared" si="0"/>
        <v>104930</v>
      </c>
    </row>
    <row r="65" spans="1:9" x14ac:dyDescent="0.25">
      <c r="A65" t="s">
        <v>146</v>
      </c>
      <c r="B65" t="s">
        <v>30</v>
      </c>
      <c r="C65" t="str">
        <f>TEXT(Table1[[#This Row],[Date]],"mmm")</f>
        <v>Mar</v>
      </c>
      <c r="D65" t="s">
        <v>10</v>
      </c>
      <c r="E65" t="s">
        <v>31</v>
      </c>
      <c r="F65" t="s">
        <v>12</v>
      </c>
      <c r="G65">
        <v>28</v>
      </c>
      <c r="H65">
        <v>2333</v>
      </c>
      <c r="I65">
        <f t="shared" si="0"/>
        <v>65324</v>
      </c>
    </row>
    <row r="66" spans="1:9" x14ac:dyDescent="0.25">
      <c r="A66" t="s">
        <v>147</v>
      </c>
      <c r="B66" t="s">
        <v>148</v>
      </c>
      <c r="C66" t="str">
        <f>TEXT(Table1[[#This Row],[Date]],"mmm")</f>
        <v>Apr</v>
      </c>
      <c r="D66" t="s">
        <v>10</v>
      </c>
      <c r="E66" t="s">
        <v>16</v>
      </c>
      <c r="F66" t="s">
        <v>25</v>
      </c>
      <c r="G66">
        <v>27</v>
      </c>
      <c r="H66">
        <v>1902</v>
      </c>
      <c r="I66">
        <f t="shared" si="0"/>
        <v>51354</v>
      </c>
    </row>
    <row r="67" spans="1:9" x14ac:dyDescent="0.25">
      <c r="A67" t="s">
        <v>149</v>
      </c>
      <c r="B67" t="s">
        <v>150</v>
      </c>
      <c r="C67" t="str">
        <f>TEXT(Table1[[#This Row],[Date]],"mmm")</f>
        <v>Jan</v>
      </c>
      <c r="D67" t="s">
        <v>15</v>
      </c>
      <c r="E67" t="s">
        <v>28</v>
      </c>
      <c r="F67" t="s">
        <v>17</v>
      </c>
      <c r="G67">
        <v>13</v>
      </c>
      <c r="H67">
        <v>3054</v>
      </c>
      <c r="I67">
        <f t="shared" ref="I67:I81" si="1">G67*H67</f>
        <v>39702</v>
      </c>
    </row>
    <row r="68" spans="1:9" x14ac:dyDescent="0.25">
      <c r="A68" t="s">
        <v>151</v>
      </c>
      <c r="B68" t="s">
        <v>152</v>
      </c>
      <c r="C68" t="str">
        <f>TEXT(Table1[[#This Row],[Date]],"mmm")</f>
        <v>Jan</v>
      </c>
      <c r="D68" t="s">
        <v>15</v>
      </c>
      <c r="E68" t="s">
        <v>31</v>
      </c>
      <c r="F68" t="s">
        <v>50</v>
      </c>
      <c r="G68">
        <v>31</v>
      </c>
      <c r="H68">
        <v>1766</v>
      </c>
      <c r="I68">
        <f t="shared" si="1"/>
        <v>54746</v>
      </c>
    </row>
    <row r="69" spans="1:9" x14ac:dyDescent="0.25">
      <c r="A69" t="s">
        <v>153</v>
      </c>
      <c r="B69" t="s">
        <v>81</v>
      </c>
      <c r="C69" t="str">
        <f>TEXT(Table1[[#This Row],[Date]],"mmm")</f>
        <v>Mar</v>
      </c>
      <c r="D69" t="s">
        <v>24</v>
      </c>
      <c r="E69" t="s">
        <v>16</v>
      </c>
      <c r="F69" t="s">
        <v>17</v>
      </c>
      <c r="G69">
        <v>25</v>
      </c>
      <c r="H69">
        <v>1736</v>
      </c>
      <c r="I69">
        <f t="shared" si="1"/>
        <v>43400</v>
      </c>
    </row>
    <row r="70" spans="1:9" x14ac:dyDescent="0.25">
      <c r="A70" t="s">
        <v>154</v>
      </c>
      <c r="B70" t="s">
        <v>83</v>
      </c>
      <c r="C70" t="str">
        <f>TEXT(Table1[[#This Row],[Date]],"mmm")</f>
        <v>Feb</v>
      </c>
      <c r="D70" t="s">
        <v>15</v>
      </c>
      <c r="E70" t="s">
        <v>28</v>
      </c>
      <c r="F70" t="s">
        <v>50</v>
      </c>
      <c r="G70">
        <v>22</v>
      </c>
      <c r="H70">
        <v>1219</v>
      </c>
      <c r="I70">
        <f t="shared" si="1"/>
        <v>26818</v>
      </c>
    </row>
    <row r="71" spans="1:9" x14ac:dyDescent="0.25">
      <c r="A71" t="s">
        <v>155</v>
      </c>
      <c r="B71" t="s">
        <v>156</v>
      </c>
      <c r="C71" t="str">
        <f>TEXT(Table1[[#This Row],[Date]],"mmm")</f>
        <v>Jul</v>
      </c>
      <c r="D71" t="s">
        <v>20</v>
      </c>
      <c r="E71" t="s">
        <v>38</v>
      </c>
      <c r="F71" t="s">
        <v>50</v>
      </c>
      <c r="G71">
        <v>22</v>
      </c>
      <c r="H71">
        <v>1273</v>
      </c>
      <c r="I71">
        <f t="shared" si="1"/>
        <v>28006</v>
      </c>
    </row>
    <row r="72" spans="1:9" x14ac:dyDescent="0.25">
      <c r="A72" t="s">
        <v>157</v>
      </c>
      <c r="B72" t="s">
        <v>46</v>
      </c>
      <c r="C72" t="str">
        <f>TEXT(Table1[[#This Row],[Date]],"mmm")</f>
        <v>Jul</v>
      </c>
      <c r="D72" t="s">
        <v>15</v>
      </c>
      <c r="E72" t="s">
        <v>31</v>
      </c>
      <c r="F72" t="s">
        <v>12</v>
      </c>
      <c r="G72">
        <v>6</v>
      </c>
      <c r="H72">
        <v>1831</v>
      </c>
      <c r="I72">
        <f t="shared" si="1"/>
        <v>10986</v>
      </c>
    </row>
    <row r="73" spans="1:9" x14ac:dyDescent="0.25">
      <c r="A73" t="s">
        <v>158</v>
      </c>
      <c r="B73" t="s">
        <v>159</v>
      </c>
      <c r="C73" t="str">
        <f>TEXT(Table1[[#This Row],[Date]],"mmm")</f>
        <v>Dec</v>
      </c>
      <c r="D73" t="s">
        <v>15</v>
      </c>
      <c r="E73" t="s">
        <v>31</v>
      </c>
      <c r="F73" t="s">
        <v>17</v>
      </c>
      <c r="G73">
        <v>26</v>
      </c>
      <c r="H73">
        <v>1711</v>
      </c>
      <c r="I73">
        <f t="shared" si="1"/>
        <v>44486</v>
      </c>
    </row>
    <row r="74" spans="1:9" x14ac:dyDescent="0.25">
      <c r="A74" t="s">
        <v>160</v>
      </c>
      <c r="B74" t="s">
        <v>30</v>
      </c>
      <c r="C74" t="str">
        <f>TEXT(Table1[[#This Row],[Date]],"mmm")</f>
        <v>Mar</v>
      </c>
      <c r="D74" t="s">
        <v>20</v>
      </c>
      <c r="E74" t="s">
        <v>11</v>
      </c>
      <c r="F74" t="s">
        <v>50</v>
      </c>
      <c r="G74">
        <v>24</v>
      </c>
      <c r="H74">
        <v>2734</v>
      </c>
      <c r="I74">
        <f t="shared" si="1"/>
        <v>65616</v>
      </c>
    </row>
    <row r="75" spans="1:9" x14ac:dyDescent="0.25">
      <c r="A75" t="s">
        <v>161</v>
      </c>
      <c r="B75" t="s">
        <v>9</v>
      </c>
      <c r="C75" t="str">
        <f>TEXT(Table1[[#This Row],[Date]],"mmm")</f>
        <v>Jan</v>
      </c>
      <c r="D75" t="s">
        <v>20</v>
      </c>
      <c r="E75" t="s">
        <v>28</v>
      </c>
      <c r="F75" t="s">
        <v>47</v>
      </c>
      <c r="G75">
        <v>33</v>
      </c>
      <c r="H75">
        <v>2044</v>
      </c>
      <c r="I75">
        <f t="shared" si="1"/>
        <v>67452</v>
      </c>
    </row>
    <row r="76" spans="1:9" x14ac:dyDescent="0.25">
      <c r="A76" t="s">
        <v>162</v>
      </c>
      <c r="B76" t="s">
        <v>106</v>
      </c>
      <c r="C76" t="str">
        <f>TEXT(Table1[[#This Row],[Date]],"mmm")</f>
        <v>Jul</v>
      </c>
      <c r="D76" t="s">
        <v>20</v>
      </c>
      <c r="E76" t="s">
        <v>31</v>
      </c>
      <c r="F76" t="s">
        <v>50</v>
      </c>
      <c r="G76">
        <v>30</v>
      </c>
      <c r="H76">
        <v>3106</v>
      </c>
      <c r="I76">
        <f t="shared" si="1"/>
        <v>93180</v>
      </c>
    </row>
    <row r="77" spans="1:9" x14ac:dyDescent="0.25">
      <c r="A77" t="s">
        <v>163</v>
      </c>
      <c r="B77" t="s">
        <v>110</v>
      </c>
      <c r="C77" t="str">
        <f>TEXT(Table1[[#This Row],[Date]],"mmm")</f>
        <v>Feb</v>
      </c>
      <c r="D77" t="s">
        <v>24</v>
      </c>
      <c r="E77" t="s">
        <v>57</v>
      </c>
      <c r="F77" t="s">
        <v>25</v>
      </c>
      <c r="G77">
        <v>30</v>
      </c>
      <c r="H77">
        <v>2636</v>
      </c>
      <c r="I77">
        <f t="shared" si="1"/>
        <v>79080</v>
      </c>
    </row>
    <row r="78" spans="1:9" x14ac:dyDescent="0.25">
      <c r="A78" t="s">
        <v>164</v>
      </c>
      <c r="B78" t="s">
        <v>37</v>
      </c>
      <c r="C78" t="str">
        <f>TEXT(Table1[[#This Row],[Date]],"mmm")</f>
        <v>Aug</v>
      </c>
      <c r="D78" t="s">
        <v>10</v>
      </c>
      <c r="E78" t="s">
        <v>31</v>
      </c>
      <c r="F78" t="s">
        <v>12</v>
      </c>
      <c r="G78">
        <v>12</v>
      </c>
      <c r="H78">
        <v>1608</v>
      </c>
      <c r="I78">
        <f t="shared" si="1"/>
        <v>19296</v>
      </c>
    </row>
    <row r="79" spans="1:9" x14ac:dyDescent="0.25">
      <c r="A79" t="s">
        <v>165</v>
      </c>
      <c r="B79" t="s">
        <v>166</v>
      </c>
      <c r="C79" t="str">
        <f>TEXT(Table1[[#This Row],[Date]],"mmm")</f>
        <v>Dec</v>
      </c>
      <c r="D79" t="s">
        <v>20</v>
      </c>
      <c r="E79" t="s">
        <v>38</v>
      </c>
      <c r="F79" t="s">
        <v>47</v>
      </c>
      <c r="G79">
        <v>12</v>
      </c>
      <c r="H79">
        <v>1248</v>
      </c>
      <c r="I79">
        <f t="shared" si="1"/>
        <v>14976</v>
      </c>
    </row>
    <row r="80" spans="1:9" x14ac:dyDescent="0.25">
      <c r="A80" t="s">
        <v>167</v>
      </c>
      <c r="B80" t="s">
        <v>127</v>
      </c>
      <c r="C80" t="str">
        <f>TEXT(Table1[[#This Row],[Date]],"mmm")</f>
        <v>Feb</v>
      </c>
      <c r="D80" t="s">
        <v>10</v>
      </c>
      <c r="E80" t="s">
        <v>31</v>
      </c>
      <c r="F80" t="s">
        <v>17</v>
      </c>
      <c r="G80">
        <v>13</v>
      </c>
      <c r="H80">
        <v>2970</v>
      </c>
      <c r="I80">
        <f t="shared" si="1"/>
        <v>38610</v>
      </c>
    </row>
    <row r="81" spans="1:9" x14ac:dyDescent="0.25">
      <c r="A81" t="s">
        <v>168</v>
      </c>
      <c r="B81" t="s">
        <v>169</v>
      </c>
      <c r="C81" t="str">
        <f>TEXT(Table1[[#This Row],[Date]],"mmm")</f>
        <v>Dec</v>
      </c>
      <c r="D81" t="s">
        <v>10</v>
      </c>
      <c r="E81" t="s">
        <v>57</v>
      </c>
      <c r="F81" t="s">
        <v>32</v>
      </c>
      <c r="G81">
        <v>1</v>
      </c>
      <c r="H81">
        <v>1</v>
      </c>
      <c r="I81">
        <f t="shared" si="1"/>
        <v>1</v>
      </c>
    </row>
  </sheetData>
  <pageMargins left="0.75" right="0.75" top="1" bottom="1" header="0.5" footer="0.5"/>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showGridLines="0" tabSelected="1" zoomScale="85" zoomScaleNormal="85" workbookViewId="0">
      <selection activeCell="W30" sqref="W30"/>
    </sheetView>
  </sheetViews>
  <sheetFormatPr defaultRowHeight="15" x14ac:dyDescent="0.25"/>
  <sheetData/>
  <pageMargins left="0.75" right="0.75" top="1" bottom="1" header="0.5" footer="0.5"/>
  <pageSetup orientation="portrait" r:id="rId1"/>
  <drawing r:id="rId2"/>
  <extLst>
    <ext xmlns:x14="http://schemas.microsoft.com/office/spreadsheetml/2009/9/main" uri="{A8765BA9-456A-4dab-B4F3-ACF838C121DE}">
      <x14:slicerList>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autoPageBreaks="0"/>
  </sheetPr>
  <dimension ref="A5"/>
  <sheetViews>
    <sheetView showGridLines="0" zoomScale="85" zoomScaleNormal="85" workbookViewId="0">
      <selection activeCell="V11" sqref="V11"/>
    </sheetView>
  </sheetViews>
  <sheetFormatPr defaultRowHeight="15" x14ac:dyDescent="0.25"/>
  <sheetData>
    <row r="5" spans="1:1" x14ac:dyDescent="0.25">
      <c r="A5" s="4"/>
    </row>
  </sheetData>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showGridLines="0" zoomScale="85" zoomScaleNormal="85" workbookViewId="0">
      <selection activeCell="X26" sqref="X26"/>
    </sheetView>
  </sheetViews>
  <sheetFormatPr defaultRowHeight="15" x14ac:dyDescent="0.25"/>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autoPageBreaks="0"/>
  </sheetPr>
  <dimension ref="A1"/>
  <sheetViews>
    <sheetView showGridLines="0" zoomScale="85" zoomScaleNormal="85" workbookViewId="0">
      <selection activeCell="W23" sqref="W23"/>
    </sheetView>
  </sheetViews>
  <sheetFormatPr defaultRowHeight="15" x14ac:dyDescent="0.25"/>
  <sheetData/>
  <pageMargins left="0.7" right="0.7" top="0.75" bottom="0.75" header="0.3" footer="0.3"/>
  <pageSetup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6:Y57"/>
  <sheetViews>
    <sheetView topLeftCell="N1" workbookViewId="0">
      <selection activeCell="B23" sqref="B23"/>
    </sheetView>
  </sheetViews>
  <sheetFormatPr defaultRowHeight="15" x14ac:dyDescent="0.25"/>
  <cols>
    <col min="1" max="1" width="13.140625" customWidth="1"/>
    <col min="2" max="2" width="17.28515625" customWidth="1"/>
    <col min="3" max="5" width="19.5703125" customWidth="1"/>
    <col min="6" max="6" width="10.7109375" customWidth="1"/>
    <col min="7" max="7" width="6.85546875" customWidth="1"/>
    <col min="8" max="8" width="13.140625" customWidth="1"/>
    <col min="9" max="9" width="10.7109375" customWidth="1"/>
    <col min="10" max="10" width="19.5703125" customWidth="1"/>
    <col min="11" max="13" width="10.7109375" customWidth="1"/>
    <col min="14" max="14" width="6.42578125" customWidth="1"/>
    <col min="15" max="15" width="13.140625" customWidth="1"/>
    <col min="16" max="17" width="10.7109375" customWidth="1"/>
    <col min="18" max="18" width="13.140625" customWidth="1"/>
    <col min="19" max="19" width="19.5703125" customWidth="1"/>
    <col min="20" max="20" width="7.42578125" customWidth="1"/>
    <col min="21" max="22" width="13.140625" customWidth="1"/>
    <col min="23" max="24" width="10.7109375" customWidth="1"/>
    <col min="25" max="26" width="9.140625" customWidth="1"/>
    <col min="27" max="27" width="4.5703125" customWidth="1"/>
    <col min="28" max="28" width="10.7109375" customWidth="1"/>
    <col min="29" max="29" width="20.28515625" customWidth="1"/>
    <col min="30" max="47" width="3" customWidth="1"/>
    <col min="48" max="48" width="11.28515625" bestFit="1" customWidth="1"/>
  </cols>
  <sheetData>
    <row r="6" spans="1:25" x14ac:dyDescent="0.25">
      <c r="W6" t="s">
        <v>186</v>
      </c>
    </row>
    <row r="7" spans="1:25" x14ac:dyDescent="0.25">
      <c r="W7" s="3">
        <v>3449450</v>
      </c>
      <c r="Y7">
        <f>GETPIVOTDATA("Total Sales",$W$6)</f>
        <v>3449450</v>
      </c>
    </row>
    <row r="11" spans="1:25" x14ac:dyDescent="0.25">
      <c r="W11" t="s">
        <v>172</v>
      </c>
    </row>
    <row r="12" spans="1:25" x14ac:dyDescent="0.25">
      <c r="A12" s="1" t="s">
        <v>170</v>
      </c>
      <c r="B12" t="s">
        <v>172</v>
      </c>
      <c r="H12" s="1" t="s">
        <v>170</v>
      </c>
      <c r="I12" t="s">
        <v>172</v>
      </c>
      <c r="O12" s="1" t="s">
        <v>170</v>
      </c>
      <c r="P12" t="s">
        <v>172</v>
      </c>
      <c r="W12" s="3">
        <v>1634</v>
      </c>
      <c r="X12" s="3"/>
      <c r="Y12">
        <f>GETPIVOTDATA("Qty",$W$11)</f>
        <v>1634</v>
      </c>
    </row>
    <row r="13" spans="1:25" x14ac:dyDescent="0.25">
      <c r="A13" s="2" t="s">
        <v>57</v>
      </c>
      <c r="B13" s="3">
        <v>287</v>
      </c>
      <c r="C13" s="3"/>
      <c r="D13" s="3"/>
      <c r="E13" s="3"/>
      <c r="F13" s="3"/>
      <c r="G13" s="3"/>
      <c r="H13" s="2" t="s">
        <v>57</v>
      </c>
      <c r="I13" s="3">
        <v>287</v>
      </c>
      <c r="J13" s="3"/>
      <c r="O13" s="2" t="s">
        <v>11</v>
      </c>
      <c r="P13" s="3">
        <v>186</v>
      </c>
      <c r="Q13" s="3"/>
    </row>
    <row r="14" spans="1:25" x14ac:dyDescent="0.25">
      <c r="A14" s="2" t="s">
        <v>11</v>
      </c>
      <c r="B14" s="3">
        <v>186</v>
      </c>
      <c r="C14" s="3"/>
      <c r="D14" s="3"/>
      <c r="E14" s="3"/>
      <c r="F14" s="3"/>
      <c r="G14" s="3"/>
      <c r="H14" s="2" t="s">
        <v>31</v>
      </c>
      <c r="I14" s="3">
        <v>452</v>
      </c>
      <c r="J14" s="3"/>
      <c r="O14" s="2" t="s">
        <v>38</v>
      </c>
      <c r="P14" s="3">
        <v>159</v>
      </c>
      <c r="Q14" s="3"/>
    </row>
    <row r="15" spans="1:25" x14ac:dyDescent="0.25">
      <c r="A15" s="2" t="s">
        <v>31</v>
      </c>
      <c r="B15" s="3">
        <v>452</v>
      </c>
      <c r="C15" s="3"/>
      <c r="D15" s="3"/>
      <c r="E15" s="3"/>
      <c r="H15" s="2" t="s">
        <v>28</v>
      </c>
      <c r="I15" s="3">
        <v>276</v>
      </c>
      <c r="J15" s="3"/>
      <c r="O15" s="2" t="s">
        <v>16</v>
      </c>
      <c r="P15" s="3">
        <v>274</v>
      </c>
      <c r="Q15" s="3"/>
    </row>
    <row r="16" spans="1:25" x14ac:dyDescent="0.25">
      <c r="A16" s="2" t="s">
        <v>38</v>
      </c>
      <c r="B16" s="3">
        <v>159</v>
      </c>
      <c r="C16" s="3"/>
      <c r="D16" s="3"/>
      <c r="E16" s="3"/>
      <c r="H16" s="2" t="s">
        <v>171</v>
      </c>
      <c r="I16" s="3">
        <v>1015</v>
      </c>
      <c r="J16" s="3"/>
      <c r="O16" s="2" t="s">
        <v>171</v>
      </c>
      <c r="P16" s="3">
        <v>619</v>
      </c>
      <c r="Q16" s="3"/>
    </row>
    <row r="17" spans="1:17" x14ac:dyDescent="0.25">
      <c r="A17" s="2" t="s">
        <v>16</v>
      </c>
      <c r="B17" s="3">
        <v>274</v>
      </c>
      <c r="C17" s="3"/>
      <c r="D17" s="3"/>
      <c r="E17" s="3"/>
    </row>
    <row r="18" spans="1:17" x14ac:dyDescent="0.25">
      <c r="A18" s="2" t="s">
        <v>28</v>
      </c>
      <c r="B18" s="3">
        <v>276</v>
      </c>
      <c r="C18" s="3"/>
      <c r="D18" s="3"/>
      <c r="E18" s="3"/>
    </row>
    <row r="19" spans="1:17" x14ac:dyDescent="0.25">
      <c r="A19" s="2" t="s">
        <v>171</v>
      </c>
      <c r="B19" s="3">
        <v>1634</v>
      </c>
      <c r="C19" s="3"/>
      <c r="D19" s="3"/>
      <c r="E19" s="3"/>
    </row>
    <row r="26" spans="1:17" x14ac:dyDescent="0.25">
      <c r="A26" s="1" t="s">
        <v>170</v>
      </c>
      <c r="B26" t="s">
        <v>186</v>
      </c>
    </row>
    <row r="27" spans="1:17" x14ac:dyDescent="0.25">
      <c r="A27" s="2" t="s">
        <v>47</v>
      </c>
      <c r="B27" s="3">
        <v>368009</v>
      </c>
      <c r="C27" s="3"/>
      <c r="D27" s="3"/>
      <c r="E27" s="3"/>
    </row>
    <row r="28" spans="1:17" x14ac:dyDescent="0.25">
      <c r="A28" s="2" t="s">
        <v>21</v>
      </c>
      <c r="B28" s="3">
        <v>215668</v>
      </c>
      <c r="C28" s="3"/>
      <c r="D28" s="3"/>
      <c r="E28" s="3"/>
    </row>
    <row r="29" spans="1:17" x14ac:dyDescent="0.25">
      <c r="A29" s="2" t="s">
        <v>12</v>
      </c>
      <c r="B29" s="3">
        <v>478861</v>
      </c>
      <c r="C29" s="3"/>
      <c r="D29" s="3"/>
      <c r="E29" s="3"/>
      <c r="H29" s="1" t="s">
        <v>170</v>
      </c>
      <c r="I29" t="s">
        <v>186</v>
      </c>
      <c r="O29" s="1" t="s">
        <v>170</v>
      </c>
      <c r="P29" t="s">
        <v>186</v>
      </c>
    </row>
    <row r="30" spans="1:17" x14ac:dyDescent="0.25">
      <c r="A30" s="2" t="s">
        <v>50</v>
      </c>
      <c r="B30" s="3">
        <v>362168</v>
      </c>
      <c r="C30" s="3"/>
      <c r="D30" s="3"/>
      <c r="E30" s="3"/>
      <c r="H30" s="2" t="s">
        <v>32</v>
      </c>
      <c r="I30" s="3">
        <v>567629</v>
      </c>
      <c r="J30" s="3"/>
      <c r="O30" s="2" t="s">
        <v>21</v>
      </c>
      <c r="P30" s="3">
        <v>215668</v>
      </c>
      <c r="Q30" s="3"/>
    </row>
    <row r="31" spans="1:17" x14ac:dyDescent="0.25">
      <c r="A31" s="2" t="s">
        <v>35</v>
      </c>
      <c r="B31" s="3">
        <v>232116</v>
      </c>
      <c r="C31" s="3"/>
      <c r="D31" s="3"/>
      <c r="E31" s="3"/>
      <c r="H31" s="2" t="s">
        <v>17</v>
      </c>
      <c r="I31" s="3">
        <v>704900</v>
      </c>
      <c r="J31" s="3"/>
      <c r="O31" s="2" t="s">
        <v>50</v>
      </c>
      <c r="P31" s="3">
        <v>362168</v>
      </c>
      <c r="Q31" s="3"/>
    </row>
    <row r="32" spans="1:17" x14ac:dyDescent="0.25">
      <c r="A32" s="2" t="s">
        <v>32</v>
      </c>
      <c r="B32" s="3">
        <v>567629</v>
      </c>
      <c r="C32" s="3"/>
      <c r="D32" s="3"/>
      <c r="E32" s="3"/>
      <c r="H32" s="2" t="s">
        <v>25</v>
      </c>
      <c r="I32" s="3">
        <v>520099</v>
      </c>
      <c r="J32" s="3"/>
      <c r="O32" s="2" t="s">
        <v>35</v>
      </c>
      <c r="P32" s="3">
        <v>232116</v>
      </c>
      <c r="Q32" s="3"/>
    </row>
    <row r="33" spans="1:17" x14ac:dyDescent="0.25">
      <c r="A33" s="2" t="s">
        <v>17</v>
      </c>
      <c r="B33" s="3">
        <v>704900</v>
      </c>
      <c r="C33" s="3"/>
      <c r="D33" s="3"/>
      <c r="E33" s="3"/>
      <c r="H33" s="2" t="s">
        <v>171</v>
      </c>
      <c r="I33" s="3">
        <v>1792628</v>
      </c>
      <c r="J33" s="3"/>
      <c r="O33" s="2" t="s">
        <v>171</v>
      </c>
      <c r="P33" s="3">
        <v>809952</v>
      </c>
      <c r="Q33" s="3"/>
    </row>
    <row r="34" spans="1:17" x14ac:dyDescent="0.25">
      <c r="A34" s="2" t="s">
        <v>25</v>
      </c>
      <c r="B34" s="3">
        <v>520099</v>
      </c>
      <c r="C34" s="3"/>
      <c r="D34" s="3"/>
      <c r="E34" s="3"/>
    </row>
    <row r="35" spans="1:17" x14ac:dyDescent="0.25">
      <c r="A35" s="2" t="s">
        <v>171</v>
      </c>
      <c r="B35" s="3">
        <v>3449450</v>
      </c>
      <c r="C35" s="3"/>
      <c r="D35" s="3"/>
      <c r="E35" s="3"/>
    </row>
    <row r="44" spans="1:17" x14ac:dyDescent="0.25">
      <c r="A44" s="1" t="s">
        <v>170</v>
      </c>
      <c r="B44" t="s">
        <v>186</v>
      </c>
      <c r="H44" s="1" t="s">
        <v>170</v>
      </c>
      <c r="I44" t="s">
        <v>186</v>
      </c>
      <c r="O44" s="1" t="s">
        <v>170</v>
      </c>
      <c r="P44" t="s">
        <v>186</v>
      </c>
    </row>
    <row r="45" spans="1:17" x14ac:dyDescent="0.25">
      <c r="A45" s="2" t="s">
        <v>57</v>
      </c>
      <c r="B45" s="3">
        <v>686047</v>
      </c>
      <c r="C45" s="3"/>
      <c r="D45" s="3"/>
      <c r="E45" s="3"/>
      <c r="H45" s="2" t="s">
        <v>15</v>
      </c>
      <c r="I45" s="3">
        <v>805190</v>
      </c>
      <c r="J45" s="3"/>
      <c r="O45" s="2" t="s">
        <v>173</v>
      </c>
      <c r="P45" s="3">
        <v>565798</v>
      </c>
      <c r="Q45" s="3"/>
    </row>
    <row r="46" spans="1:17" x14ac:dyDescent="0.25">
      <c r="A46" s="2" t="s">
        <v>11</v>
      </c>
      <c r="B46" s="3">
        <v>347206</v>
      </c>
      <c r="C46" s="3"/>
      <c r="D46" s="3"/>
      <c r="E46" s="3"/>
      <c r="H46" s="2" t="s">
        <v>20</v>
      </c>
      <c r="I46" s="3">
        <v>1189441</v>
      </c>
      <c r="J46" s="3"/>
      <c r="O46" s="2" t="s">
        <v>174</v>
      </c>
      <c r="P46" s="3">
        <v>652128</v>
      </c>
      <c r="Q46" s="3"/>
    </row>
    <row r="47" spans="1:17" x14ac:dyDescent="0.25">
      <c r="A47" s="2" t="s">
        <v>31</v>
      </c>
      <c r="B47" s="3">
        <v>914351</v>
      </c>
      <c r="C47" s="3"/>
      <c r="D47" s="3"/>
      <c r="E47" s="3"/>
      <c r="H47" s="2" t="s">
        <v>10</v>
      </c>
      <c r="I47" s="3">
        <v>890832</v>
      </c>
      <c r="J47" s="3"/>
      <c r="O47" s="2" t="s">
        <v>175</v>
      </c>
      <c r="P47" s="3">
        <v>558408</v>
      </c>
      <c r="Q47" s="3"/>
    </row>
    <row r="48" spans="1:17" x14ac:dyDescent="0.25">
      <c r="A48" s="2" t="s">
        <v>38</v>
      </c>
      <c r="B48" s="3">
        <v>341205</v>
      </c>
      <c r="C48" s="3"/>
      <c r="D48" s="3"/>
      <c r="E48" s="3"/>
      <c r="H48" s="2" t="s">
        <v>24</v>
      </c>
      <c r="I48" s="3">
        <v>563987</v>
      </c>
      <c r="J48" s="3"/>
      <c r="O48" s="2" t="s">
        <v>176</v>
      </c>
      <c r="P48" s="3">
        <v>195789</v>
      </c>
      <c r="Q48" s="3"/>
    </row>
    <row r="49" spans="1:17" x14ac:dyDescent="0.25">
      <c r="A49" s="2" t="s">
        <v>16</v>
      </c>
      <c r="B49" s="3">
        <v>557009</v>
      </c>
      <c r="C49" s="3"/>
      <c r="D49" s="3"/>
      <c r="E49" s="3"/>
      <c r="H49" s="2" t="s">
        <v>171</v>
      </c>
      <c r="I49" s="3">
        <v>3449450</v>
      </c>
      <c r="J49" s="3"/>
      <c r="O49" s="2" t="s">
        <v>177</v>
      </c>
      <c r="P49" s="3">
        <v>131758</v>
      </c>
      <c r="Q49" s="3"/>
    </row>
    <row r="50" spans="1:17" x14ac:dyDescent="0.25">
      <c r="A50" s="2" t="s">
        <v>28</v>
      </c>
      <c r="B50" s="3">
        <v>603632</v>
      </c>
      <c r="C50" s="3"/>
      <c r="D50" s="3"/>
      <c r="E50" s="3"/>
      <c r="O50" s="2" t="s">
        <v>178</v>
      </c>
      <c r="P50" s="3">
        <v>156456</v>
      </c>
      <c r="Q50" s="3"/>
    </row>
    <row r="51" spans="1:17" x14ac:dyDescent="0.25">
      <c r="A51" s="2" t="s">
        <v>171</v>
      </c>
      <c r="B51" s="3">
        <v>3449450</v>
      </c>
      <c r="C51" s="3"/>
      <c r="D51" s="3"/>
      <c r="E51" s="3"/>
      <c r="O51" s="2" t="s">
        <v>179</v>
      </c>
      <c r="P51" s="3">
        <v>237944</v>
      </c>
      <c r="Q51" s="3"/>
    </row>
    <row r="52" spans="1:17" x14ac:dyDescent="0.25">
      <c r="O52" s="2" t="s">
        <v>180</v>
      </c>
      <c r="P52" s="3">
        <v>198121</v>
      </c>
      <c r="Q52" s="3"/>
    </row>
    <row r="53" spans="1:17" x14ac:dyDescent="0.25">
      <c r="O53" s="2" t="s">
        <v>181</v>
      </c>
      <c r="P53" s="3">
        <v>174762</v>
      </c>
      <c r="Q53" s="3"/>
    </row>
    <row r="54" spans="1:17" x14ac:dyDescent="0.25">
      <c r="O54" s="2" t="s">
        <v>182</v>
      </c>
      <c r="P54" s="3">
        <v>237019</v>
      </c>
      <c r="Q54" s="3"/>
    </row>
    <row r="55" spans="1:17" x14ac:dyDescent="0.25">
      <c r="O55" s="2" t="s">
        <v>183</v>
      </c>
      <c r="P55" s="3">
        <v>281804</v>
      </c>
      <c r="Q55" s="3"/>
    </row>
    <row r="56" spans="1:17" x14ac:dyDescent="0.25">
      <c r="O56" s="2" t="s">
        <v>184</v>
      </c>
      <c r="P56" s="3">
        <v>59463</v>
      </c>
      <c r="Q56" s="3"/>
    </row>
    <row r="57" spans="1:17" x14ac:dyDescent="0.25">
      <c r="O57" s="2" t="s">
        <v>171</v>
      </c>
      <c r="P57" s="3">
        <v>3449450</v>
      </c>
      <c r="Q57" s="3"/>
    </row>
  </sheetData>
  <pageMargins left="0.7" right="0.7" top="0.75" bottom="0.75" header="0.3" footer="0.3"/>
  <pageSetup orientation="portrait" r:id="rId12"/>
  <drawing r:id="rId13"/>
  <extLst>
    <ext xmlns:x14="http://schemas.microsoft.com/office/spreadsheetml/2009/9/main" uri="{A8765BA9-456A-4dab-B4F3-ACF838C121DE}">
      <x14:slicerList>
        <x14:slicer r:id="rId14"/>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Raw_Data</vt:lpstr>
      <vt:lpstr>DASHBOARD</vt:lpstr>
      <vt:lpstr>PRODUCT</vt:lpstr>
      <vt:lpstr>SALESPERSON</vt:lpstr>
      <vt:lpstr>CONCLUSION</vt:lpstr>
      <vt:lpstr>PVT. TABLE</vt:lpstr>
    </vt:vector>
  </TitlesOfParts>
  <LinksUpToDate>false</LinksUpToDate>
  <SharedDoc>false</SharedDoc>
  <HyperlinksChanged>false</HyperlinksChanged>
  <AppVersion>14.0300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DELL</cp:lastModifiedBy>
  <cp:lastPrinted>2026-05-22T20:37:58Z</cp:lastPrinted>
  <dcterms:created xsi:type="dcterms:W3CDTF">2026-05-21T12:53:24Z</dcterms:created>
  <dcterms:modified xsi:type="dcterms:W3CDTF">2026-05-22T21:44:41Z</dcterms:modified>
</cp:coreProperties>
</file>